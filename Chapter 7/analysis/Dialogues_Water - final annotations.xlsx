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1111" documentId="11_F267804BE9493E8B665A872675661A700F268F54" xr6:coauthVersionLast="47" xr6:coauthVersionMax="47" xr10:uidLastSave="{C6D33DAF-01A4-4EDB-95C1-5980AAABE74A}"/>
  <bookViews>
    <workbookView xWindow="-90" yWindow="-90" windowWidth="19380" windowHeight="10260" firstSheet="4" activeTab="6" xr2:uid="{00000000-000D-0000-FFFF-FFFF00000000}"/>
  </bookViews>
  <sheets>
    <sheet name="Sheet0" sheetId="1" r:id="rId1"/>
    <sheet name="the price of eating by the..." sheetId="2" r:id="rId2"/>
    <sheet name="Salt draws water from...." sheetId="3" r:id="rId3"/>
    <sheet name="Restuarant overheads " sheetId="4" r:id="rId4"/>
    <sheet name="Drink on the plane" sheetId="5" r:id="rId5"/>
    <sheet name="Tap water tastes different..." sheetId="6" r:id="rId6"/>
    <sheet name="Summary " sheetId="7" r:id="rId7"/>
  </sheets>
  <definedNames>
    <definedName name="_xlnm._FilterDatabase" localSheetId="0" hidden="1">Sheet0!$A$2:$H$267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2" l="1"/>
  <c r="C2" i="7" s="1"/>
  <c r="E34" i="2"/>
  <c r="D2" i="7" s="1"/>
  <c r="F34" i="2"/>
  <c r="E2" i="7" s="1"/>
  <c r="C34" i="2"/>
  <c r="B2" i="7" s="1"/>
  <c r="F34" i="6"/>
  <c r="E6" i="7" s="1"/>
  <c r="E34" i="6"/>
  <c r="D6" i="7" s="1"/>
  <c r="D34" i="6"/>
  <c r="C6" i="7" s="1"/>
  <c r="C34" i="6"/>
  <c r="B6" i="7" s="1"/>
  <c r="F34" i="5"/>
  <c r="E5" i="7" s="1"/>
  <c r="E34" i="5"/>
  <c r="D5" i="7" s="1"/>
  <c r="D34" i="5"/>
  <c r="C5" i="7" s="1"/>
  <c r="C34" i="5"/>
  <c r="B5" i="7" s="1"/>
  <c r="F34" i="4"/>
  <c r="E4" i="7" s="1"/>
  <c r="E34" i="4"/>
  <c r="D4" i="7" s="1"/>
  <c r="D34" i="4"/>
  <c r="C4" i="7" s="1"/>
  <c r="C34" i="4"/>
  <c r="F34" i="3"/>
  <c r="E3" i="7" s="1"/>
  <c r="E34" i="3"/>
  <c r="D3" i="7" s="1"/>
  <c r="D34" i="3"/>
  <c r="C3" i="7" s="1"/>
  <c r="C34" i="3"/>
  <c r="B3" i="7" s="1"/>
  <c r="G34" i="6" l="1"/>
  <c r="F6" i="7"/>
  <c r="C21" i="7" s="1"/>
  <c r="G34" i="5"/>
  <c r="F5" i="7"/>
  <c r="C20" i="7" s="1"/>
  <c r="G34" i="4"/>
  <c r="B4" i="7"/>
  <c r="B13" i="7" s="1"/>
  <c r="E13" i="7"/>
  <c r="G34" i="3"/>
  <c r="F3" i="7"/>
  <c r="C18" i="7" s="1"/>
  <c r="G34" i="2"/>
  <c r="C13" i="7"/>
  <c r="F2" i="7"/>
  <c r="C17" i="7" s="1"/>
  <c r="D13" i="7"/>
  <c r="E21" i="7" l="1"/>
  <c r="D21" i="7"/>
  <c r="B21" i="7"/>
  <c r="E20" i="7"/>
  <c r="D20" i="7"/>
  <c r="B20" i="7"/>
  <c r="F4" i="7"/>
  <c r="D18" i="7"/>
  <c r="B18" i="7"/>
  <c r="E18" i="7"/>
  <c r="B17" i="7"/>
  <c r="E17" i="7"/>
  <c r="D17" i="7"/>
  <c r="C19" i="7" l="1"/>
  <c r="E19" i="7"/>
  <c r="D19" i="7"/>
  <c r="B19" i="7"/>
</calcChain>
</file>

<file path=xl/sharedStrings.xml><?xml version="1.0" encoding="utf-8"?>
<sst xmlns="http://schemas.openxmlformats.org/spreadsheetml/2006/main" count="2476" uniqueCount="257">
  <si>
    <t>Q4</t>
  </si>
  <si>
    <t>Q5</t>
  </si>
  <si>
    <t>Q15</t>
  </si>
  <si>
    <t>QID71</t>
  </si>
  <si>
    <t>QID61</t>
  </si>
  <si>
    <t>QID51</t>
  </si>
  <si>
    <t>QID42</t>
  </si>
  <si>
    <t>QID33</t>
  </si>
  <si>
    <t>What is your age?</t>
  </si>
  <si>
    <t>What is your highest level of education?</t>
  </si>
  <si>
    <t>Please select the domain that best describes your current occupation:</t>
  </si>
  <si>
    <t>Maisy, Brad and Rececca are discussing Maisy's recent holiday:
Maisy: There's so many people trying to sell you stuff.
Brad: Mm.
Maisy: Fob you off and overcharge you.
Brad: Oh, a selfie stick to sell you?
Rebecca: Not take a photo of you?
Maisy: No, to sell you.
Brad: Oh right.
Maisy: And you, if you eat by the water.
Brad: Mm.
Maisy: The price of eating by the water is insane compared to like the little—
Rebecca: Backstreets.
Maisy: —Pizza places in the backstreets you could get some really good food.
Brad: Right.
What do you think is conveyed by Maisy in the underlined text?</t>
  </si>
  <si>
    <t>Harry, Jose, and Susie are discussing cooking:
Harry: You shouldn't salt beef.
Jose: What do you mean, you should salt beef?
Harry: Before you cook it because all the water - all the juices leech out of it.
Jose: You salt and pepper, don't you?
Susie: Apparently, yeah, like joints of beef and stuff like that.
Harry: Any beef I've been told.
Susie: Yeah, but any dish you salt...
Jose: Like er shoulder, if you like salt a shoulder before you put it in the oven.
Harry: That's different, but if you're say frying pieces of beef or stir-fried beef or something, you shouldn't salt it.
Jose: I wouldn't salt a steak before frying it because it makes it dry, doesn't it?
Harry: Yeah, because it draws out all the water.
Susie: I don't salt my steaks, no.
What do you think is conveyed by Harry in the underlined text?</t>
  </si>
  <si>
    <t>Rebecca and Katherine are discussing restaurants:
Rebecca: So there's no overheads for the food and they're not paying any staff fee, so if they're paying five pounds for that meal that's actual pure profit. Unlike a real restaurant, where probably the biggest expense is wages, and then the food itself. So that could actually be subsidising the other café where people can't afford to pay as much.
Katherine: True, but don't they have to rent premises to do this?
Rebecca: Mm yeah.
Katherine: Oh I mean that's massive.
Rebecca: So they do have that overhead.
Katherine: Yeah, that's a massive expense.
Rebecca: Plus the electricity and water.
Katherine: Mm, and there's no guaranteed levels of income here, you know.
What do you think is conveyed by Rebecca in the underlined text?</t>
  </si>
  <si>
    <t>Annemarie and Charles are discussing health:
Annemarie: Yeah, the thing is, what you've got to do on a plane is to look after your body. That's the most important thing you've got to do.
Charles: Yeah, yeah, yeah.
Annemarie: And the only way you can do that is to drink as much water as possible.
Charles: Yeah.
Annemarie: Not too much water but-
Charles: No, no, no.
Annemarie: Just keep yourself hydrated. Flying at that altitude and drinking alcohol is like a kamikaze wish for me.
What do you think is conveyed by Annemarie in the underlined text?</t>
  </si>
  <si>
    <t>Alecia, Phil, and Ida are discussing each others' homes:
Alecia: Do you keep water in the fridge?
Phil: No.
Ida: No.
Alecia: Oh, you don't?
Phil: It's cold enough out the tap.
Ida: It's nice just being able to drink it out the tap. Water does taste different in different places though, doesn't it?
Alecia: Yeah, definitely.
Ida: It's different here to back at my mum's.
Alecia: It's even different, er, in different parts of England.
Phil: Yeah, that's what I mean.
What do you think is conveyed by Ida in the underlined text?</t>
  </si>
  <si>
    <t>45 - 54</t>
  </si>
  <si>
    <t>Master’s Degree (e.g. MA. MSc)</t>
  </si>
  <si>
    <t>Sales and Marketing</t>
  </si>
  <si>
    <t/>
  </si>
  <si>
    <t>25 - 34</t>
  </si>
  <si>
    <t>GCSE/O-level</t>
  </si>
  <si>
    <t>Finance and Banking</t>
  </si>
  <si>
    <t>Inflation is going up, eating with a view is expensive.</t>
  </si>
  <si>
    <t>35 - 44</t>
  </si>
  <si>
    <t>Bachelors Degree (e.g BA, BSc)</t>
  </si>
  <si>
    <t>Unemployed</t>
  </si>
  <si>
    <t>Vocational Qualifications (e.g. NVQs, BTEC)</t>
  </si>
  <si>
    <t>Information Technology and Software Development</t>
  </si>
  <si>
    <t>55 - 64</t>
  </si>
  <si>
    <t>Higher National Certificate/higher National Diploma</t>
  </si>
  <si>
    <t>Engineering and Manufacturing</t>
  </si>
  <si>
    <t xml:space="preserve"> Ida is saying the tap water here tastes different from the water at her mum’s house.</t>
  </si>
  <si>
    <t>Nonprofit and Social Services</t>
  </si>
  <si>
    <t>Bossy</t>
  </si>
  <si>
    <t xml:space="preserve">Salting beef draws liwu8d from tue meat when its being cooked </t>
  </si>
  <si>
    <t>A-levels/Highers</t>
  </si>
  <si>
    <t>Retired</t>
  </si>
  <si>
    <t xml:space="preserve">Ida is suggesting that she thinks that water tastes different in different homes, areas, places etc. the coldness may also alter the taste </t>
  </si>
  <si>
    <t>Retail and Customer Service</t>
  </si>
  <si>
    <t>Holiday was in a rip off place.</t>
  </si>
  <si>
    <t>Law and Legal Services</t>
  </si>
  <si>
    <t>That using salt before cooking will dry out the meat</t>
  </si>
  <si>
    <t>Education and Training</t>
  </si>
  <si>
    <t>She is adding on to the discussion about the other bills they have to pay at the restaurant</t>
  </si>
  <si>
    <t>Healthcare and Medicine</t>
  </si>
  <si>
    <t>Consulting and Business Services</t>
  </si>
  <si>
    <t>The expense of tourism</t>
  </si>
  <si>
    <t>Government and Public Administration</t>
  </si>
  <si>
    <t>That water can be different and taste different, depending on where it's from and temperature.</t>
  </si>
  <si>
    <t>That it costs a lot more money to eat with a view of the water than it does if you eat elsewhere</t>
  </si>
  <si>
    <t>She can taste water differently in other places</t>
  </si>
  <si>
    <t xml:space="preserve">Water tastes different i. Different places </t>
  </si>
  <si>
    <t>Arts and Humanities</t>
  </si>
  <si>
    <t xml:space="preserve">to stay hydrated when flying in a plane </t>
  </si>
  <si>
    <t>getting food near a river or lake is more expensive than other locations</t>
  </si>
  <si>
    <t>That there are underlying costs such as electricity and water</t>
  </si>
  <si>
    <t>Construction and Skilled Trades</t>
  </si>
  <si>
    <t xml:space="preserve">The salt draws out all of the water from a piece of beef before you cook it </t>
  </si>
  <si>
    <t>Water tastes differently in difference towns / cities</t>
  </si>
  <si>
    <t>65 - 74</t>
  </si>
  <si>
    <t>Transportation and Logistics</t>
  </si>
  <si>
    <t>Salt dehydrates beef</t>
  </si>
  <si>
    <t>18 - 24</t>
  </si>
  <si>
    <t xml:space="preserve">explaining why the steak goes dry </t>
  </si>
  <si>
    <t>to drink enough water</t>
  </si>
  <si>
    <t xml:space="preserve">The price of the water </t>
  </si>
  <si>
    <t>Media  and Entertainment</t>
  </si>
  <si>
    <t>even more expense</t>
  </si>
  <si>
    <t>Secondary School/No formal qualifications</t>
  </si>
  <si>
    <t>Clear advice to keep hydrated on a plane</t>
  </si>
  <si>
    <t>Energy and Utilities</t>
  </si>
  <si>
    <t>that you are charged a high price to sit and eat near a beauty spot next to water they extort the placement fo teh resturante</t>
  </si>
  <si>
    <t>she is clarifying the overall expenses of running a business.</t>
  </si>
  <si>
    <t>75 - 84</t>
  </si>
  <si>
    <t>Student</t>
  </si>
  <si>
    <t xml:space="preserve">salt draws out water </t>
  </si>
  <si>
    <t xml:space="preserve">Saying that there's extra cost </t>
  </si>
  <si>
    <t xml:space="preserve">They are confiming pointing out  that the salt dries out the steak </t>
  </si>
  <si>
    <t xml:space="preserve">It doesn't matter where you store your water, it's going to taste different. </t>
  </si>
  <si>
    <t>The cost of electricity and water that will be incurred by running a restaurant.</t>
  </si>
  <si>
    <t>He knows how to cook</t>
  </si>
  <si>
    <t>To have a comfortable flight you should drink a lot of water during the flight</t>
  </si>
  <si>
    <t>water from different regions tastes different</t>
  </si>
  <si>
    <t>Drawing out the water in a steak makes it worse as a meal.</t>
  </si>
  <si>
    <t>Popular eateries in specific locations charge more</t>
  </si>
  <si>
    <t xml:space="preserve">Drink lots of water to keep yourself healthy </t>
  </si>
  <si>
    <t>Water tastes differently depending on region</t>
  </si>
  <si>
    <t>Rebecca conveys an acknowledgment that running a restaurant involves additional operating costs beyond rent. She adds to Katherine's point about overhead expenses by mentioning utilities, highlighting her understanding of the various factors that contribute to a restaurant's financial burden. This suggests Rebecca's effort to present a more comprehensive view of the expenses involved.</t>
  </si>
  <si>
    <t>Eating in restaurants near the water is more expensive than those on the streets</t>
  </si>
  <si>
    <t>the steak will be spoilt if salt is added</t>
  </si>
  <si>
    <t>Steak shouldnt be salted as it will make it dry</t>
  </si>
  <si>
    <t>The price of everything these days</t>
  </si>
  <si>
    <t xml:space="preserve">Yo but bottled water </t>
  </si>
  <si>
    <t>Science and Research</t>
  </si>
  <si>
    <t>She is confirming what she believes she already knows</t>
  </si>
  <si>
    <t>Annemarie is suggesting to hydrate well by drinking a lot of water. It seems like she is emphasising the importance of staying hydrated.</t>
  </si>
  <si>
    <t>that a certain area is very expensive</t>
  </si>
  <si>
    <t>That salting beef before cooking draws the flavour out of the meat</t>
  </si>
  <si>
    <t>water in different parts of the world, and in england tastes different due to different minerals in the water</t>
  </si>
  <si>
    <t>You shouldn’t salt the meat because it makes it dry</t>
  </si>
  <si>
    <t>shes saying electricity and water are an additional expense</t>
  </si>
  <si>
    <t>Prices</t>
  </si>
  <si>
    <t>That the increased prices when on holiday and in a tourist area are more expensive due to the scenery.</t>
  </si>
  <si>
    <t>it costs more money to eat near the water</t>
  </si>
  <si>
    <t>Salt spoils the steak</t>
  </si>
  <si>
    <t>To hydrate oneself</t>
  </si>
  <si>
    <t>Maisy is stressing the high cost of eating by the water. She is using the word insane to emphasise how expensive it is</t>
  </si>
  <si>
    <t>She is emphasising just how much water you should drink during a flight</t>
  </si>
  <si>
    <t>the disadvanteges of salting beef before cooking (what is conveyed is wrong!!)</t>
  </si>
  <si>
    <t xml:space="preserve">Keep hydrated and not drink alcohol </t>
  </si>
  <si>
    <t xml:space="preserve">That flying is bad for your body and drinking lots of water helps balance this. </t>
  </si>
  <si>
    <t xml:space="preserve">Salt makes food dry by removing all the fluid contents </t>
  </si>
  <si>
    <t>Hospitality and Tourism</t>
  </si>
  <si>
    <t>That electricity and water is another expense</t>
  </si>
  <si>
    <t>There will be electricity and water costs to pay</t>
  </si>
  <si>
    <t>Water in England tastes different based on water supply</t>
  </si>
  <si>
    <t>Eating by the water on holiday was expensive</t>
  </si>
  <si>
    <t xml:space="preserve">that drinking water is healthy </t>
  </si>
  <si>
    <t xml:space="preserve">It’s expensive to eat on the water front on holiday due to the view. </t>
  </si>
  <si>
    <t>That water tastes different in other places.</t>
  </si>
  <si>
    <t>Keep drinking water to stay hydrated.</t>
  </si>
  <si>
    <t xml:space="preserve">The cost of running a restaurant </t>
  </si>
  <si>
    <t>This one feels more self explanatory. Annemarie is just saying it’s important to stay hydrated so you should drink as much water as you can to stay hydrated.</t>
  </si>
  <si>
    <t xml:space="preserve">That the cost of living is insane and people are trying yheir hardest to make as much money as possible </t>
  </si>
  <si>
    <t>th extra added costs they would have to accommodate</t>
  </si>
  <si>
    <t>Drinking water prior and after flying prevents dehydration</t>
  </si>
  <si>
    <t>The restaurant has to pay for the electricity and water they use</t>
  </si>
  <si>
    <t>Same as all the juices leeching out of it above</t>
  </si>
  <si>
    <t>that water and elecrticity are expensive to run</t>
  </si>
  <si>
    <t>Agriculture and Environmental Services</t>
  </si>
  <si>
    <t>the price is a lot more when you eat by the water</t>
  </si>
  <si>
    <t>that water out of  the tap tastes differently from  different places. likr scotland and england</t>
  </si>
  <si>
    <t>Maisy is saying that eating by the water, in one of the near by restaurants, is really expensive.</t>
  </si>
  <si>
    <t>that drinking plenty of water is the the best way to stay hydrated on a flight</t>
  </si>
  <si>
    <t>She is emphasizing that restaurants that are not real ones like online ones have very low overheads and bills</t>
  </si>
  <si>
    <t>Doctorate (e.g. PhD, EdD)</t>
  </si>
  <si>
    <t>the electricity and water are a major expense for a cafe</t>
  </si>
  <si>
    <t>She realises that water is different in lots of different situations, but without favouring one type of water over another.</t>
  </si>
  <si>
    <t>The water tastes different in other geographical regions.</t>
  </si>
  <si>
    <t>Salting food before cooking reduces the water content of the food being cooked.</t>
  </si>
  <si>
    <t>how expensive it is to purchase food close to the water</t>
  </si>
  <si>
    <t>That restaurants have utility bills to pay such as electricity and water.</t>
  </si>
  <si>
    <t xml:space="preserve">The water has a different taste in different regions </t>
  </si>
  <si>
    <t>That water tastes different in different places.</t>
  </si>
  <si>
    <t xml:space="preserve">A disbelief in what Katherine is saying and that Katherine has misunderstood </t>
  </si>
  <si>
    <t>Foundation Degree</t>
  </si>
  <si>
    <t>that you should drink as much water as you can</t>
  </si>
  <si>
    <t xml:space="preserve">to drink as much water as possible on the plane </t>
  </si>
  <si>
    <t>The difference in the taste in different parts of the country.</t>
  </si>
  <si>
    <t xml:space="preserve">She is encouraging her friend to drink plenty of water on a plane to ensure she stays hydrated </t>
  </si>
  <si>
    <t xml:space="preserve">quite literally, it draws out the water. </t>
  </si>
  <si>
    <t xml:space="preserve">there are extra costs </t>
  </si>
  <si>
    <t>that staying hydrated is healthy especially during flights</t>
  </si>
  <si>
    <t>How overpriced certain areas of a town/city are because of their location.</t>
  </si>
  <si>
    <t xml:space="preserve">That you shouldn't salt beef when cooking it as it draws out the moisture and makes the meat dry. </t>
  </si>
  <si>
    <t>That salt takes all the water out which is why the steak becomes dry</t>
  </si>
  <si>
    <t>Annemarie is conveying her care for Charles by telling him he needs to drink water and keep himself hydrated.</t>
  </si>
  <si>
    <t xml:space="preserve">That there is additional expenses </t>
  </si>
  <si>
    <t xml:space="preserve">That in a good location, services cost more. </t>
  </si>
  <si>
    <t>Harry is conveying that salt draws water out of steak.</t>
  </si>
  <si>
    <t xml:space="preserve">Seasoning beef before cooking. </t>
  </si>
  <si>
    <t xml:space="preserve">She talks about there being no overheads for a restaurant, such as staff and bills. </t>
  </si>
  <si>
    <t>She is highlighting this sentence as she feels strongly about this</t>
  </si>
  <si>
    <t>Ida is conveying that water is possibly of a different quality depending on where you live and will taste better in some regions.</t>
  </si>
  <si>
    <t>Sort of trying to placate Alecia into not thinking she's the odd one out</t>
  </si>
  <si>
    <t>The solution to looking after your body on the plane is to drink as much water as possible. This is the most important factor.</t>
  </si>
  <si>
    <t>water tastes different in different places</t>
  </si>
  <si>
    <t>Ida is expressing her opinion about how water tastes differently in different parts of the country.  This could be the way different water companies treat the water and also the level of water quality.</t>
  </si>
  <si>
    <t xml:space="preserve">To drink the amount of water comfortable enough for you to drink but also how much is made available </t>
  </si>
  <si>
    <t>eating in places with nice scenery</t>
  </si>
  <si>
    <t>That electric and water bills are very expensive and mean that the business running in that place needs to be able to foot this bill</t>
  </si>
  <si>
    <t>Maisy believes that tourists how choose to eat at waterside venues are paying premium prices for the privilege.</t>
  </si>
  <si>
    <t>Ida is suggesting that water taste differently depending where it comes from.</t>
  </si>
  <si>
    <t xml:space="preserve">Harry is trying to explain why you shouldn't salt certain types of beef before you cook it and is telling Josie the reason why it makes the steak dry as it draws out all the water and juices from the meat making it dry. </t>
  </si>
  <si>
    <t xml:space="preserve">Harry is trying to tell the reason why Jose or Jose or Susie or anyone in general shouldn't salt meat because if you do so, it will drain all the water from the meat and it may not taste and cook well if all salt/taste has gone from the meat. </t>
  </si>
  <si>
    <t>That water tastes different from different parts of the world or country.</t>
  </si>
  <si>
    <t>she has understood that there are costs incolved for the restaurants rather than what she previously thought</t>
  </si>
  <si>
    <t>keeping hydrated on a flight</t>
  </si>
  <si>
    <t>There are more expenses than Katherine realises</t>
  </si>
  <si>
    <t>that you need to keep yourself hydrated to make sure you feel good while flying</t>
  </si>
  <si>
    <t>Maisy, Brad and Rececca are discussing Maisy's recent holiday:
Maisy: There's so many people trying to sell you stuff.
Brad: Mm.
Maisy: Fob you off and overcharge you.
Brad: Oh, a selfie stick to sell you?
Rebecca: Not take a photo of you?
Maisy: No, to sell you.
Brad: Oh right.
Maisy: And you, if you eat by the water.
Brad: Mm.
Maisy: The price of eating by the water is insane compared to like the little—
Rebecca: Backstreets.
Maisy: —Pizza places in the backstreets you could get some really good food.
Brad: Right.
What do you think is conveyed by Maisy in the underlined text?</t>
  </si>
  <si>
    <t>"The price of eating by the water is insane "</t>
  </si>
  <si>
    <t xml:space="preserve">Plus the electricity and water </t>
  </si>
  <si>
    <t>drink as much water as possible.</t>
  </si>
  <si>
    <t>Water does taste different in different places though</t>
  </si>
  <si>
    <t>D1</t>
  </si>
  <si>
    <t>D2</t>
  </si>
  <si>
    <t>D3</t>
  </si>
  <si>
    <t>D4</t>
  </si>
  <si>
    <t>D5</t>
  </si>
  <si>
    <t>Dialogue</t>
  </si>
  <si>
    <t>total</t>
  </si>
  <si>
    <t>Water</t>
  </si>
  <si>
    <t xml:space="preserve">To drink water at every opportunity assuming no negative repercussions  </t>
  </si>
  <si>
    <t>Implying the cost of electricity and water is a large overhead</t>
  </si>
  <si>
    <t>That she had possibly changed her mind and that she is considering katherines view point and her example, leading on from what she said, thinking of another expenditure.</t>
  </si>
  <si>
    <t>The expenses that Cafes and restaurants have to pay before any profit is made.</t>
  </si>
  <si>
    <t>the discussion of bills and the added cost of electricity and water to a restaurant</t>
  </si>
  <si>
    <t>Frustration because he's having to repeat himself and explain</t>
  </si>
  <si>
    <t xml:space="preserve">That salting steak draws out all of the water </t>
  </si>
  <si>
    <t>She conveys the idea that the prices of eating at restaurants by the shore far exceeds those of places in the backstreets</t>
  </si>
  <si>
    <t>That the prices in restaurants located by the water, i.e. by the river or the sea, are very high</t>
  </si>
  <si>
    <t xml:space="preserve">QUD: </t>
  </si>
  <si>
    <t>"What was the experience like on Maisy's holiday?"</t>
  </si>
  <si>
    <t>COMMENT</t>
  </si>
  <si>
    <t>CERTAINTY</t>
  </si>
  <si>
    <t>QUD</t>
  </si>
  <si>
    <t>Should you salt beef before cooking it?</t>
  </si>
  <si>
    <t>paraphrase</t>
  </si>
  <si>
    <t>inference</t>
  </si>
  <si>
    <t>flavour is an implication</t>
  </si>
  <si>
    <t>spoiling is an inference</t>
  </si>
  <si>
    <t>comment</t>
  </si>
  <si>
    <t>certainty</t>
  </si>
  <si>
    <t>dps</t>
  </si>
  <si>
    <t>What are the expenses involved in running a café/restaurant?"</t>
  </si>
  <si>
    <t>more general than dps</t>
  </si>
  <si>
    <t>How should you take care of your body while flying?</t>
  </si>
  <si>
    <t>alcohol is from an implicature</t>
  </si>
  <si>
    <t>flying bad is an implicature</t>
  </si>
  <si>
    <t>healthy is an implicature</t>
  </si>
  <si>
    <t>prior to and after is inferred</t>
  </si>
  <si>
    <t>perephrese</t>
  </si>
  <si>
    <t>much is available is an inference</t>
  </si>
  <si>
    <t>no negative is implied</t>
  </si>
  <si>
    <t>What are your preferences or habits around drinking water?</t>
  </si>
  <si>
    <t>minerals is inferred</t>
  </si>
  <si>
    <t>SIT</t>
  </si>
  <si>
    <t>INF</t>
  </si>
  <si>
    <t>EVA</t>
  </si>
  <si>
    <t xml:space="preserve">inflation is inference </t>
  </si>
  <si>
    <t>broader discourse inference</t>
  </si>
  <si>
    <t>due to view is inference</t>
  </si>
  <si>
    <t>broader inference</t>
  </si>
  <si>
    <t xml:space="preserve">broader inference </t>
  </si>
  <si>
    <t xml:space="preserve">it draws out all the water </t>
  </si>
  <si>
    <t>taste is inference</t>
  </si>
  <si>
    <t xml:space="preserve">asribing emotions definitely </t>
  </si>
  <si>
    <t xml:space="preserve">dps </t>
  </si>
  <si>
    <t>inference, never said it was expensive</t>
  </si>
  <si>
    <t>major expense is an inference</t>
  </si>
  <si>
    <t>being very expensive is an inference</t>
  </si>
  <si>
    <t xml:space="preserve">implication </t>
  </si>
  <si>
    <t>inf</t>
  </si>
  <si>
    <t xml:space="preserve">sit </t>
  </si>
  <si>
    <t xml:space="preserve">evaluation </t>
  </si>
  <si>
    <t>care for charles</t>
  </si>
  <si>
    <t>coldness inferred</t>
  </si>
  <si>
    <t>temperature is broader discourse</t>
  </si>
  <si>
    <t>based on supply</t>
  </si>
  <si>
    <t>not fabouring one over other is inference</t>
  </si>
  <si>
    <t>quality is inferred</t>
  </si>
  <si>
    <t>hypothesises about why</t>
  </si>
  <si>
    <t>PAR</t>
  </si>
  <si>
    <t>Excluded?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</si>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</sst>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indexed="8"/>
      <name val="Aptos Narrow"/>
      <family val="2"/>
      <scheme val="minor"/>
    </font>
    <font>
      <sz val="8"/>
      <name val="Aptos Narrow"/>
      <family val="2"/>
      <scheme val="minor"/>
    </font>
    <font>
      <sz val="11"/>
      <color indexed="8"/>
      <name val="Aptos Narrow"/>
      <family val="2"/>
      <scheme val="minor"/>
    </font>
  </fonts>
  <fills count="8">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0" tint="-0.249977111117893"/>
        <bgColor indexed="64"/>
      </patternFill>
    </fill>
    <fill>
      <patternFill patternType="solid">
        <fgColor theme="0" tint="-0.14999847407452621"/>
        <bgColor theme="0" tint="-0.14999847407452621"/>
      </patternFill>
    </fill>
    <fill>
      <patternFill patternType="solid">
        <fgColor theme="2" tint="-9.9978637043366805E-2"/>
        <bgColor indexed="64"/>
      </patternFill>
    </fill>
    <fill>
      <patternFill patternType="solid">
        <fgColor rgb="FFFFC000"/>
        <bgColor indexed="64"/>
      </patternFill>
    </fill>
  </fills>
  <borders count="3">
    <border>
      <left/>
      <right/>
      <top/>
      <bottom/>
      <diagonal/>
    </border>
    <border>
      <left/>
      <right/>
      <top/>
      <bottom style="thin">
        <color theme="1"/>
      </bottom>
      <diagonal/>
    </border>
    <border>
      <left/>
      <right/>
      <top style="thin">
        <color theme="1"/>
      </top>
      <bottom style="thin">
        <color theme="1"/>
      </bottom>
      <diagonal/>
    </border>
  </borders>
  <cellStyleXfs count="2">
    <xf numFmtId="0" fontId="0" fillId="0" borderId="0"/>
    <xf numFmtId="9" fontId="6" fillId="0" borderId="0" applyFont="0" applyFill="0" applyBorder="0" applyAlignment="0" applyProtection="0"/>
  </cellStyleXfs>
  <cellXfs count="22">
    <xf numFmtId="0" fontId="0" fillId="0" borderId="0" xfId="0"/>
    <xf numFmtId="49" fontId="0" fillId="0" borderId="0" xfId="0" applyNumberFormat="1" applyAlignment="1">
      <alignment wrapText="1"/>
    </xf>
    <xf numFmtId="0" fontId="0" fillId="2" borderId="0" xfId="0" applyFill="1"/>
    <xf numFmtId="49" fontId="0" fillId="3" borderId="0" xfId="0" applyNumberFormat="1" applyFill="1" applyAlignment="1">
      <alignment wrapText="1"/>
    </xf>
    <xf numFmtId="0" fontId="0" fillId="0" borderId="0" xfId="0">
      <extLst>
        <ext xmlns:xfpb="http://schemas.microsoft.com/office/spreadsheetml/2022/featurepropertybag" uri="{C7286773-470A-42A8-94C5-96B5CB345126}">
          <xfpb:xfComplement i="0"/>
        </ext>
      </extLst>
    </xf>
    <xf numFmtId="0" fontId="2" fillId="0" borderId="1" xfId="0" applyFont="1" applyBorder="1"/>
    <xf numFmtId="0" fontId="3" fillId="0" borderId="1" xfId="0" applyFont="1" applyBorder="1"/>
    <xf numFmtId="0" fontId="0" fillId="2" borderId="0" xfId="0" applyFill="1" applyAlignment="1">
      <alignment vertical="top" wrapText="1"/>
    </xf>
    <xf numFmtId="0" fontId="4" fillId="0" borderId="0" xfId="0" applyFont="1"/>
    <xf numFmtId="0" fontId="0" fillId="0" borderId="0" xfId="0" applyAlignment="1">
      <alignment horizontal="left" vertical="center" indent="1"/>
    </xf>
    <xf numFmtId="0" fontId="4" fillId="0" borderId="0" xfId="0" applyFont="1" applyAlignment="1">
      <alignment horizontal="left" vertical="center" indent="1"/>
    </xf>
    <xf numFmtId="0" fontId="0" fillId="0" borderId="0" xfId="0" applyAlignment="1">
      <alignment wrapText="1"/>
    </xf>
    <xf numFmtId="0" fontId="3" fillId="0" borderId="2" xfId="0" applyFont="1" applyBorder="1"/>
    <xf numFmtId="0" fontId="1" fillId="5" borderId="0" xfId="0" applyFont="1" applyFill="1"/>
    <xf numFmtId="0" fontId="1" fillId="0" borderId="0" xfId="0" applyFont="1"/>
    <xf numFmtId="9" fontId="1" fillId="5" borderId="0" xfId="1" applyFont="1" applyFill="1"/>
    <xf numFmtId="0" fontId="0" fillId="6" borderId="0" xfId="0" applyFill="1"/>
    <xf numFmtId="0" fontId="0" fillId="6" borderId="0" xfId="0" applyFill="1" applyAlignment="1">
      <alignment wrapText="1"/>
    </xf>
    <xf numFmtId="49" fontId="0" fillId="7" borderId="0" xfId="0" applyNumberFormat="1" applyFill="1" applyAlignment="1">
      <alignment wrapText="1"/>
    </xf>
    <xf numFmtId="0" fontId="0" fillId="2" borderId="0" xfId="0" applyFill="1" applyAlignment="1">
      <alignment horizontal="left" wrapText="1"/>
    </xf>
    <xf numFmtId="0" fontId="0" fillId="4" borderId="0" xfId="0" applyFill="1" applyAlignment="1">
      <alignment horizontal="left" vertical="top" wrapText="1"/>
    </xf>
    <xf numFmtId="0" fontId="0" fillId="2" borderId="0" xfId="0" applyFill="1" applyAlignment="1">
      <alignment horizontal="left" vertical="top" wrapText="1"/>
    </xf>
  </cellXfs>
  <cellStyles count="2">
    <cellStyle name="Normal" xfId="0" builtinId="0"/>
    <cellStyle name="Per cent" xfId="1" builtinId="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border diagonalUp="0" diagonalDown="0">
        <left/>
        <right/>
        <top/>
        <bottom style="thin">
          <color theme="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bottom style="thin">
          <color theme="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bottom style="thin">
          <color theme="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bottom style="thin">
          <color theme="1"/>
        </bottom>
        <vertical/>
        <horizontal/>
      </border>
    </dxf>
    <dxf>
      <border outline="0">
        <top style="thin">
          <color theme="1"/>
        </top>
      </border>
    </dxf>
    <dxf>
      <font>
        <b val="0"/>
        <i val="0"/>
        <strike val="0"/>
        <condense val="0"/>
        <extend val="0"/>
        <outline val="0"/>
        <shadow val="0"/>
        <u val="none"/>
        <vertAlign val="baseline"/>
        <sz val="11"/>
        <color theme="1"/>
        <name val="Aptos Narrow"/>
        <family val="2"/>
        <scheme val="minor"/>
      </font>
    </dxf>
    <dxf>
      <border outline="0">
        <bottom style="thin">
          <color theme="1"/>
        </bottom>
      </border>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7D7E2A-63CF-47D8-9588-334FC448FB1C}" name="Table8" displayName="Table8" ref="A1:F7" totalsRowShown="0">
  <autoFilter ref="A1:F7" xr:uid="{2D7D7E2A-63CF-47D8-9588-334FC448FB1C}"/>
  <tableColumns count="6">
    <tableColumn id="1" xr3:uid="{01212567-5225-4861-B470-911368384098}" name="Dialogue"/>
    <tableColumn id="2" xr3:uid="{E74166DB-521A-4265-9355-B08F1AB88DA9}" name="PAR">
      <calculatedColumnFormula array="1">#REF!</calculatedColumnFormula>
    </tableColumn>
    <tableColumn id="3" xr3:uid="{626E8DC6-C75B-405D-B90A-B9A34434D4D8}" name="SIT">
      <calculatedColumnFormula array="1">#REF!</calculatedColumnFormula>
    </tableColumn>
    <tableColumn id="4" xr3:uid="{93ACC67D-12B6-4F52-853D-53F9FD27DCE2}" name="INF">
      <calculatedColumnFormula array="1">#REF!</calculatedColumnFormula>
    </tableColumn>
    <tableColumn id="5" xr3:uid="{87019197-BAFC-4D3C-A7EE-7A035F748921}" name="EVA"/>
    <tableColumn id="6" xr3:uid="{94A144C5-B89C-45E3-BAE3-1C2CCEB2322E}" name="tot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F32A67-4415-43E1-95F2-4F89BFAAA199}" name="Table9" displayName="Table9" ref="A12:E13" totalsRowShown="0" headerRowDxfId="12" dataDxfId="10" headerRowBorderDxfId="11" tableBorderDxfId="9">
  <autoFilter ref="A12:E13" xr:uid="{A0F32A67-4415-43E1-95F2-4F89BFAAA199}"/>
  <tableColumns count="5">
    <tableColumn id="1" xr3:uid="{39DE51A2-D593-4F46-909B-E42AE26F4AA8}" name="Water"/>
    <tableColumn id="2" xr3:uid="{F61FD91B-A780-43CC-982B-B8DA72AF4635}" name="PAR" dataDxfId="8">
      <calculatedColumnFormula>SUM(B2:B6)</calculatedColumnFormula>
    </tableColumn>
    <tableColumn id="3" xr3:uid="{2AB7853C-228E-4E32-B745-C2603C476870}" name="SIT" dataDxfId="7">
      <calculatedColumnFormula>SUM(C2:C6)</calculatedColumnFormula>
    </tableColumn>
    <tableColumn id="4" xr3:uid="{8E59056E-43C8-4B74-8A6B-AB310DB3712E}" name="INF" dataDxfId="6">
      <calculatedColumnFormula>SUM(D2:D6)</calculatedColumnFormula>
    </tableColumn>
    <tableColumn id="5" xr3:uid="{E6596DF0-51FF-4E7F-A4E0-985C36D9C5DA}" name="EVA" dataDxfId="5">
      <calculatedColumnFormula>SUM(E2:E6)</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7"/>
  <sheetViews>
    <sheetView workbookViewId="0">
      <selection sqref="A1:A1048576"/>
    </sheetView>
  </sheetViews>
  <sheetFormatPr defaultRowHeight="14.75" x14ac:dyDescent="0.75"/>
  <cols>
    <col min="4" max="4" width="33.54296875" customWidth="1"/>
    <col min="5" max="5" width="34.76953125" customWidth="1"/>
    <col min="6" max="6" width="37.90625" customWidth="1"/>
    <col min="7" max="7" width="38.31640625" customWidth="1"/>
    <col min="8" max="8" width="47.453125" customWidth="1"/>
  </cols>
  <sheetData>
    <row r="1" spans="1:8" x14ac:dyDescent="0.75">
      <c r="A1" s="2" t="s">
        <v>0</v>
      </c>
      <c r="B1" s="2" t="s">
        <v>1</v>
      </c>
      <c r="C1" s="2" t="s">
        <v>2</v>
      </c>
      <c r="D1" s="2" t="s">
        <v>3</v>
      </c>
      <c r="E1" s="2" t="s">
        <v>4</v>
      </c>
      <c r="F1" s="2" t="s">
        <v>5</v>
      </c>
      <c r="G1" s="2" t="s">
        <v>6</v>
      </c>
      <c r="H1" s="2" t="s">
        <v>7</v>
      </c>
    </row>
    <row r="2" spans="1:8" ht="36" customHeight="1" x14ac:dyDescent="0.75">
      <c r="A2" s="2" t="s">
        <v>8</v>
      </c>
      <c r="B2" s="2" t="s">
        <v>9</v>
      </c>
      <c r="C2" s="2" t="s">
        <v>10</v>
      </c>
      <c r="D2" s="7" t="s">
        <v>11</v>
      </c>
      <c r="E2" s="2" t="s">
        <v>12</v>
      </c>
      <c r="F2" s="7" t="s">
        <v>13</v>
      </c>
      <c r="G2" s="2" t="s">
        <v>14</v>
      </c>
      <c r="H2" s="2" t="s">
        <v>15</v>
      </c>
    </row>
    <row r="3" spans="1:8" ht="59" x14ac:dyDescent="0.75">
      <c r="A3" s="1" t="s">
        <v>16</v>
      </c>
      <c r="B3" s="1" t="s">
        <v>17</v>
      </c>
      <c r="C3" s="1" t="s">
        <v>18</v>
      </c>
      <c r="D3" s="1" t="s">
        <v>19</v>
      </c>
      <c r="E3" s="1" t="s">
        <v>19</v>
      </c>
      <c r="F3" s="1" t="s">
        <v>19</v>
      </c>
      <c r="G3" s="1" t="s">
        <v>19</v>
      </c>
      <c r="H3" s="1" t="s">
        <v>19</v>
      </c>
    </row>
    <row r="4" spans="1:8" ht="44.25" x14ac:dyDescent="0.75">
      <c r="A4" s="1" t="s">
        <v>20</v>
      </c>
      <c r="B4" s="1" t="s">
        <v>21</v>
      </c>
      <c r="C4" s="1" t="s">
        <v>22</v>
      </c>
      <c r="D4" s="1" t="s">
        <v>23</v>
      </c>
      <c r="E4" s="1" t="s">
        <v>19</v>
      </c>
      <c r="F4" s="1" t="s">
        <v>19</v>
      </c>
      <c r="G4" s="1" t="s">
        <v>19</v>
      </c>
      <c r="H4" s="1" t="s">
        <v>19</v>
      </c>
    </row>
    <row r="5" spans="1:8" ht="59" x14ac:dyDescent="0.75">
      <c r="A5" s="1" t="s">
        <v>24</v>
      </c>
      <c r="B5" s="1" t="s">
        <v>25</v>
      </c>
      <c r="C5" s="1" t="s">
        <v>26</v>
      </c>
      <c r="D5" s="1" t="s">
        <v>19</v>
      </c>
      <c r="E5" s="1" t="s">
        <v>19</v>
      </c>
      <c r="F5" s="1" t="s">
        <v>19</v>
      </c>
      <c r="G5" s="1" t="s">
        <v>19</v>
      </c>
      <c r="H5" s="1" t="s">
        <v>19</v>
      </c>
    </row>
    <row r="6" spans="1:8" ht="103.25" x14ac:dyDescent="0.75">
      <c r="A6" s="1" t="s">
        <v>24</v>
      </c>
      <c r="B6" s="1" t="s">
        <v>27</v>
      </c>
      <c r="C6" s="1" t="s">
        <v>28</v>
      </c>
      <c r="D6" s="1" t="s">
        <v>19</v>
      </c>
      <c r="E6" s="1" t="s">
        <v>19</v>
      </c>
      <c r="F6" s="1" t="s">
        <v>19</v>
      </c>
      <c r="G6" s="1" t="s">
        <v>19</v>
      </c>
      <c r="H6" s="1" t="s">
        <v>19</v>
      </c>
    </row>
    <row r="7" spans="1:8" ht="103.25" x14ac:dyDescent="0.75">
      <c r="A7" s="1" t="s">
        <v>29</v>
      </c>
      <c r="B7" s="1" t="s">
        <v>30</v>
      </c>
      <c r="C7" s="1" t="s">
        <v>28</v>
      </c>
      <c r="D7" s="1" t="s">
        <v>19</v>
      </c>
      <c r="E7" s="1" t="s">
        <v>19</v>
      </c>
      <c r="F7" s="1" t="s">
        <v>19</v>
      </c>
      <c r="G7" s="1" t="s">
        <v>19</v>
      </c>
      <c r="H7" s="1" t="s">
        <v>19</v>
      </c>
    </row>
    <row r="8" spans="1:8" ht="59" x14ac:dyDescent="0.75">
      <c r="A8" s="1" t="s">
        <v>20</v>
      </c>
      <c r="B8" s="1" t="s">
        <v>25</v>
      </c>
      <c r="C8" s="1" t="s">
        <v>31</v>
      </c>
      <c r="D8" s="1" t="s">
        <v>19</v>
      </c>
      <c r="E8" s="1" t="s">
        <v>19</v>
      </c>
      <c r="F8" s="1" t="s">
        <v>19</v>
      </c>
      <c r="G8" s="1" t="s">
        <v>19</v>
      </c>
      <c r="H8" s="1" t="s">
        <v>32</v>
      </c>
    </row>
    <row r="9" spans="1:8" ht="59" x14ac:dyDescent="0.75">
      <c r="A9" s="1" t="s">
        <v>20</v>
      </c>
      <c r="B9" s="1" t="s">
        <v>25</v>
      </c>
      <c r="C9" s="1" t="s">
        <v>33</v>
      </c>
      <c r="D9" s="1" t="s">
        <v>19</v>
      </c>
      <c r="E9" s="1" t="s">
        <v>19</v>
      </c>
      <c r="F9" s="1" t="s">
        <v>19</v>
      </c>
      <c r="G9" s="1" t="s">
        <v>34</v>
      </c>
      <c r="H9" s="1" t="s">
        <v>19</v>
      </c>
    </row>
    <row r="10" spans="1:8" ht="59" x14ac:dyDescent="0.75">
      <c r="A10" s="1" t="s">
        <v>29</v>
      </c>
      <c r="B10" s="1" t="s">
        <v>17</v>
      </c>
      <c r="C10" s="1" t="s">
        <v>31</v>
      </c>
      <c r="D10" s="1" t="s">
        <v>19</v>
      </c>
      <c r="E10" s="1" t="s">
        <v>35</v>
      </c>
      <c r="F10" s="1" t="s">
        <v>19</v>
      </c>
      <c r="G10" s="1" t="s">
        <v>19</v>
      </c>
      <c r="H10" s="1" t="s">
        <v>19</v>
      </c>
    </row>
    <row r="11" spans="1:8" ht="59" x14ac:dyDescent="0.75">
      <c r="A11" s="1" t="s">
        <v>24</v>
      </c>
      <c r="B11" s="1" t="s">
        <v>36</v>
      </c>
      <c r="C11" s="1" t="s">
        <v>33</v>
      </c>
      <c r="D11" s="1" t="s">
        <v>19</v>
      </c>
      <c r="E11" s="1" t="s">
        <v>19</v>
      </c>
      <c r="F11" s="1" t="s">
        <v>19</v>
      </c>
      <c r="G11" s="1" t="s">
        <v>19</v>
      </c>
      <c r="H11" s="1" t="s">
        <v>19</v>
      </c>
    </row>
    <row r="12" spans="1:8" ht="44.25" x14ac:dyDescent="0.75">
      <c r="A12" s="1" t="s">
        <v>29</v>
      </c>
      <c r="B12" s="1" t="s">
        <v>36</v>
      </c>
      <c r="C12" s="1" t="s">
        <v>37</v>
      </c>
      <c r="D12" s="1" t="s">
        <v>19</v>
      </c>
      <c r="E12" s="1" t="s">
        <v>19</v>
      </c>
      <c r="F12" s="1" t="s">
        <v>19</v>
      </c>
      <c r="G12" s="1" t="s">
        <v>19</v>
      </c>
      <c r="H12" s="1" t="s">
        <v>38</v>
      </c>
    </row>
    <row r="13" spans="1:8" ht="59" x14ac:dyDescent="0.75">
      <c r="A13" s="1" t="s">
        <v>29</v>
      </c>
      <c r="B13" s="1" t="s">
        <v>25</v>
      </c>
      <c r="C13" s="1" t="s">
        <v>37</v>
      </c>
      <c r="D13" s="1" t="s">
        <v>19</v>
      </c>
      <c r="E13" s="1" t="s">
        <v>19</v>
      </c>
      <c r="F13" s="1" t="s">
        <v>19</v>
      </c>
      <c r="G13" s="1" t="s">
        <v>19</v>
      </c>
      <c r="H13" s="1" t="s">
        <v>19</v>
      </c>
    </row>
    <row r="14" spans="1:8" ht="59" x14ac:dyDescent="0.75">
      <c r="A14" s="1" t="s">
        <v>24</v>
      </c>
      <c r="B14" s="1" t="s">
        <v>25</v>
      </c>
      <c r="C14" s="1" t="s">
        <v>39</v>
      </c>
      <c r="D14" s="1" t="s">
        <v>40</v>
      </c>
      <c r="E14" s="1" t="s">
        <v>19</v>
      </c>
      <c r="F14" s="1" t="s">
        <v>19</v>
      </c>
      <c r="G14" s="1" t="s">
        <v>19</v>
      </c>
      <c r="H14" s="1" t="s">
        <v>19</v>
      </c>
    </row>
    <row r="15" spans="1:8" ht="88.5" x14ac:dyDescent="0.75">
      <c r="A15" s="1" t="s">
        <v>24</v>
      </c>
      <c r="B15" s="1" t="s">
        <v>27</v>
      </c>
      <c r="C15" s="1" t="s">
        <v>41</v>
      </c>
      <c r="D15" s="1" t="s">
        <v>19</v>
      </c>
      <c r="E15" s="1" t="s">
        <v>42</v>
      </c>
      <c r="F15" s="1" t="s">
        <v>19</v>
      </c>
      <c r="G15" s="1" t="s">
        <v>19</v>
      </c>
      <c r="H15" s="1" t="s">
        <v>19</v>
      </c>
    </row>
    <row r="16" spans="1:8" ht="59" x14ac:dyDescent="0.75">
      <c r="A16" s="1" t="s">
        <v>20</v>
      </c>
      <c r="B16" s="1" t="s">
        <v>25</v>
      </c>
      <c r="C16" s="1" t="s">
        <v>43</v>
      </c>
      <c r="D16" s="1" t="s">
        <v>19</v>
      </c>
      <c r="E16" s="1" t="s">
        <v>19</v>
      </c>
      <c r="F16" s="1" t="s">
        <v>19</v>
      </c>
      <c r="G16" s="1" t="s">
        <v>19</v>
      </c>
      <c r="H16" s="1" t="s">
        <v>19</v>
      </c>
    </row>
    <row r="17" spans="1:8" ht="29.5" x14ac:dyDescent="0.75">
      <c r="A17" s="1" t="s">
        <v>24</v>
      </c>
      <c r="B17" s="1" t="s">
        <v>21</v>
      </c>
      <c r="C17" s="1" t="s">
        <v>26</v>
      </c>
      <c r="D17" s="1" t="s">
        <v>19</v>
      </c>
      <c r="E17" s="1" t="s">
        <v>19</v>
      </c>
      <c r="F17" s="1" t="s">
        <v>44</v>
      </c>
      <c r="G17" s="1" t="s">
        <v>19</v>
      </c>
      <c r="H17" s="1" t="s">
        <v>19</v>
      </c>
    </row>
    <row r="18" spans="1:8" ht="59" x14ac:dyDescent="0.75">
      <c r="A18" s="1" t="s">
        <v>24</v>
      </c>
      <c r="B18" s="1" t="s">
        <v>25</v>
      </c>
      <c r="C18" s="1" t="s">
        <v>45</v>
      </c>
      <c r="D18" s="1" t="s">
        <v>19</v>
      </c>
      <c r="E18" s="1" t="s">
        <v>19</v>
      </c>
      <c r="F18" s="1" t="s">
        <v>19</v>
      </c>
      <c r="G18" s="1" t="s">
        <v>19</v>
      </c>
      <c r="H18" s="1" t="s">
        <v>19</v>
      </c>
    </row>
    <row r="19" spans="1:8" ht="59" x14ac:dyDescent="0.75">
      <c r="A19" s="1" t="s">
        <v>20</v>
      </c>
      <c r="B19" s="1" t="s">
        <v>17</v>
      </c>
      <c r="C19" s="1" t="s">
        <v>46</v>
      </c>
      <c r="D19" s="1" t="s">
        <v>47</v>
      </c>
      <c r="E19" s="1" t="s">
        <v>19</v>
      </c>
      <c r="F19" s="1" t="s">
        <v>19</v>
      </c>
      <c r="G19" s="1" t="s">
        <v>19</v>
      </c>
      <c r="H19" s="1" t="s">
        <v>19</v>
      </c>
    </row>
    <row r="20" spans="1:8" ht="73.75" x14ac:dyDescent="0.75">
      <c r="A20" s="1" t="s">
        <v>20</v>
      </c>
      <c r="B20" s="1" t="s">
        <v>17</v>
      </c>
      <c r="C20" s="1" t="s">
        <v>48</v>
      </c>
      <c r="D20" s="1" t="s">
        <v>19</v>
      </c>
      <c r="E20" s="1" t="s">
        <v>19</v>
      </c>
      <c r="F20" s="1" t="s">
        <v>19</v>
      </c>
      <c r="G20" s="1" t="s">
        <v>19</v>
      </c>
      <c r="H20" s="1" t="s">
        <v>19</v>
      </c>
    </row>
    <row r="21" spans="1:8" ht="73.75" x14ac:dyDescent="0.75">
      <c r="A21" s="1" t="s">
        <v>24</v>
      </c>
      <c r="B21" s="1" t="s">
        <v>25</v>
      </c>
      <c r="C21" s="1" t="s">
        <v>48</v>
      </c>
      <c r="D21" s="1" t="s">
        <v>19</v>
      </c>
      <c r="E21" s="1" t="s">
        <v>19</v>
      </c>
      <c r="F21" s="1" t="s">
        <v>19</v>
      </c>
      <c r="G21" s="1" t="s">
        <v>19</v>
      </c>
      <c r="H21" s="1" t="s">
        <v>19</v>
      </c>
    </row>
    <row r="22" spans="1:8" ht="88.5" x14ac:dyDescent="0.75">
      <c r="A22" s="1" t="s">
        <v>24</v>
      </c>
      <c r="B22" s="1" t="s">
        <v>27</v>
      </c>
      <c r="C22" s="1" t="s">
        <v>41</v>
      </c>
      <c r="D22" s="1" t="s">
        <v>19</v>
      </c>
      <c r="E22" s="1" t="s">
        <v>19</v>
      </c>
      <c r="F22" s="1" t="s">
        <v>19</v>
      </c>
      <c r="G22" s="1" t="s">
        <v>19</v>
      </c>
      <c r="H22" s="1" t="s">
        <v>19</v>
      </c>
    </row>
    <row r="23" spans="1:8" ht="59" x14ac:dyDescent="0.75">
      <c r="A23" s="1" t="s">
        <v>20</v>
      </c>
      <c r="B23" s="1" t="s">
        <v>25</v>
      </c>
      <c r="C23" s="1" t="s">
        <v>43</v>
      </c>
      <c r="D23" s="1" t="s">
        <v>19</v>
      </c>
      <c r="E23" s="1" t="s">
        <v>19</v>
      </c>
      <c r="F23" s="1" t="s">
        <v>19</v>
      </c>
      <c r="G23" s="1" t="s">
        <v>19</v>
      </c>
      <c r="H23" s="1" t="s">
        <v>49</v>
      </c>
    </row>
    <row r="24" spans="1:8" ht="59" x14ac:dyDescent="0.75">
      <c r="A24" s="1" t="s">
        <v>20</v>
      </c>
      <c r="B24" s="1" t="s">
        <v>25</v>
      </c>
      <c r="C24" s="1" t="s">
        <v>22</v>
      </c>
      <c r="D24" s="1" t="s">
        <v>50</v>
      </c>
      <c r="E24" s="1" t="s">
        <v>19</v>
      </c>
      <c r="F24" s="1" t="s">
        <v>19</v>
      </c>
      <c r="G24" s="1" t="s">
        <v>19</v>
      </c>
      <c r="H24" s="1" t="s">
        <v>19</v>
      </c>
    </row>
    <row r="25" spans="1:8" ht="44.25" x14ac:dyDescent="0.75">
      <c r="A25" s="1" t="s">
        <v>24</v>
      </c>
      <c r="B25" s="1" t="s">
        <v>36</v>
      </c>
      <c r="C25" s="1" t="s">
        <v>26</v>
      </c>
      <c r="D25" s="1" t="s">
        <v>19</v>
      </c>
      <c r="E25" s="1" t="s">
        <v>19</v>
      </c>
      <c r="F25" s="1" t="s">
        <v>19</v>
      </c>
      <c r="G25" s="1" t="s">
        <v>19</v>
      </c>
      <c r="H25" s="1" t="s">
        <v>19</v>
      </c>
    </row>
    <row r="26" spans="1:8" ht="59" x14ac:dyDescent="0.75">
      <c r="A26" s="1" t="s">
        <v>20</v>
      </c>
      <c r="B26" s="1" t="s">
        <v>25</v>
      </c>
      <c r="C26" s="1" t="s">
        <v>43</v>
      </c>
      <c r="D26" s="1" t="s">
        <v>19</v>
      </c>
      <c r="E26" s="1" t="s">
        <v>19</v>
      </c>
      <c r="F26" s="1" t="s">
        <v>19</v>
      </c>
      <c r="G26" s="1" t="s">
        <v>19</v>
      </c>
      <c r="H26" s="1" t="s">
        <v>19</v>
      </c>
    </row>
    <row r="27" spans="1:8" ht="59" x14ac:dyDescent="0.75">
      <c r="A27" s="1" t="s">
        <v>29</v>
      </c>
      <c r="B27" s="1" t="s">
        <v>25</v>
      </c>
      <c r="C27" s="1" t="s">
        <v>43</v>
      </c>
      <c r="D27" s="1" t="s">
        <v>19</v>
      </c>
      <c r="E27" s="1" t="s">
        <v>19</v>
      </c>
      <c r="F27" s="1" t="s">
        <v>19</v>
      </c>
      <c r="G27" s="1" t="s">
        <v>19</v>
      </c>
      <c r="H27" s="1" t="s">
        <v>19</v>
      </c>
    </row>
    <row r="28" spans="1:8" ht="44.25" x14ac:dyDescent="0.75">
      <c r="A28" s="1" t="s">
        <v>24</v>
      </c>
      <c r="B28" s="1" t="s">
        <v>36</v>
      </c>
      <c r="C28" s="1" t="s">
        <v>26</v>
      </c>
      <c r="D28" s="1" t="s">
        <v>19</v>
      </c>
      <c r="E28" s="1" t="s">
        <v>19</v>
      </c>
      <c r="F28" s="1" t="s">
        <v>19</v>
      </c>
      <c r="G28" s="1" t="s">
        <v>19</v>
      </c>
      <c r="H28" s="1" t="s">
        <v>19</v>
      </c>
    </row>
    <row r="29" spans="1:8" ht="59" x14ac:dyDescent="0.75">
      <c r="A29" s="1" t="s">
        <v>20</v>
      </c>
      <c r="B29" s="1" t="s">
        <v>25</v>
      </c>
      <c r="C29" s="1" t="s">
        <v>43</v>
      </c>
      <c r="D29" s="1" t="s">
        <v>19</v>
      </c>
      <c r="E29" s="1" t="s">
        <v>19</v>
      </c>
      <c r="F29" s="1" t="s">
        <v>19</v>
      </c>
      <c r="G29" s="1" t="s">
        <v>19</v>
      </c>
      <c r="H29" s="1" t="s">
        <v>51</v>
      </c>
    </row>
    <row r="30" spans="1:8" ht="88.5" x14ac:dyDescent="0.75">
      <c r="A30" s="1" t="s">
        <v>20</v>
      </c>
      <c r="B30" s="1" t="s">
        <v>27</v>
      </c>
      <c r="C30" s="1" t="s">
        <v>45</v>
      </c>
      <c r="D30" s="1" t="s">
        <v>19</v>
      </c>
      <c r="E30" s="1" t="s">
        <v>19</v>
      </c>
      <c r="F30" s="1" t="s">
        <v>19</v>
      </c>
      <c r="G30" s="1" t="s">
        <v>19</v>
      </c>
      <c r="H30" s="1" t="s">
        <v>52</v>
      </c>
    </row>
    <row r="31" spans="1:8" ht="59" x14ac:dyDescent="0.75">
      <c r="A31" s="1" t="s">
        <v>24</v>
      </c>
      <c r="B31" s="1" t="s">
        <v>25</v>
      </c>
      <c r="C31" s="1" t="s">
        <v>53</v>
      </c>
      <c r="D31" s="1" t="s">
        <v>19</v>
      </c>
      <c r="E31" s="1" t="s">
        <v>19</v>
      </c>
      <c r="F31" s="1" t="s">
        <v>19</v>
      </c>
      <c r="G31" s="1" t="s">
        <v>54</v>
      </c>
      <c r="H31" s="1" t="s">
        <v>19</v>
      </c>
    </row>
    <row r="32" spans="1:8" ht="103.25" x14ac:dyDescent="0.75">
      <c r="A32" s="1" t="s">
        <v>20</v>
      </c>
      <c r="B32" s="1" t="s">
        <v>27</v>
      </c>
      <c r="C32" s="1" t="s">
        <v>28</v>
      </c>
      <c r="D32" s="1" t="s">
        <v>55</v>
      </c>
      <c r="E32" s="1" t="s">
        <v>19</v>
      </c>
      <c r="F32" s="1" t="s">
        <v>19</v>
      </c>
      <c r="G32" s="1" t="s">
        <v>19</v>
      </c>
      <c r="H32" s="1" t="s">
        <v>19</v>
      </c>
    </row>
    <row r="33" spans="1:8" ht="59" x14ac:dyDescent="0.75">
      <c r="A33" s="1" t="s">
        <v>20</v>
      </c>
      <c r="B33" s="1" t="s">
        <v>25</v>
      </c>
      <c r="C33" s="1" t="s">
        <v>43</v>
      </c>
      <c r="D33" s="1" t="s">
        <v>19</v>
      </c>
      <c r="E33" s="1" t="s">
        <v>19</v>
      </c>
      <c r="F33" s="1" t="s">
        <v>56</v>
      </c>
      <c r="G33" s="1" t="s">
        <v>19</v>
      </c>
      <c r="H33" s="1" t="s">
        <v>19</v>
      </c>
    </row>
    <row r="34" spans="1:8" ht="59" x14ac:dyDescent="0.75">
      <c r="A34" s="1" t="s">
        <v>20</v>
      </c>
      <c r="B34" s="1" t="s">
        <v>21</v>
      </c>
      <c r="C34" s="1" t="s">
        <v>57</v>
      </c>
      <c r="D34" s="1" t="s">
        <v>19</v>
      </c>
      <c r="E34" s="1" t="s">
        <v>19</v>
      </c>
      <c r="F34" s="1" t="s">
        <v>19</v>
      </c>
      <c r="G34" s="1" t="s">
        <v>19</v>
      </c>
      <c r="H34" s="1" t="s">
        <v>19</v>
      </c>
    </row>
    <row r="35" spans="1:8" ht="59" x14ac:dyDescent="0.75">
      <c r="A35" s="1" t="s">
        <v>24</v>
      </c>
      <c r="B35" s="1" t="s">
        <v>25</v>
      </c>
      <c r="C35" s="1" t="s">
        <v>26</v>
      </c>
      <c r="D35" s="1" t="s">
        <v>19</v>
      </c>
      <c r="E35" s="1" t="s">
        <v>19</v>
      </c>
      <c r="F35" s="1" t="s">
        <v>19</v>
      </c>
      <c r="G35" s="1" t="s">
        <v>19</v>
      </c>
      <c r="H35" s="1" t="s">
        <v>19</v>
      </c>
    </row>
    <row r="36" spans="1:8" ht="59" x14ac:dyDescent="0.75">
      <c r="A36" s="1" t="s">
        <v>24</v>
      </c>
      <c r="B36" s="1" t="s">
        <v>25</v>
      </c>
      <c r="C36" s="1" t="s">
        <v>43</v>
      </c>
      <c r="D36" s="1" t="s">
        <v>19</v>
      </c>
      <c r="E36" s="1" t="s">
        <v>58</v>
      </c>
      <c r="F36" s="1" t="s">
        <v>19</v>
      </c>
      <c r="G36" s="1" t="s">
        <v>19</v>
      </c>
      <c r="H36" s="1" t="s">
        <v>19</v>
      </c>
    </row>
    <row r="37" spans="1:8" ht="88.5" x14ac:dyDescent="0.75">
      <c r="A37" s="1" t="s">
        <v>20</v>
      </c>
      <c r="B37" s="1" t="s">
        <v>27</v>
      </c>
      <c r="C37" s="1" t="s">
        <v>39</v>
      </c>
      <c r="D37" s="1" t="s">
        <v>19</v>
      </c>
      <c r="E37" s="1" t="s">
        <v>19</v>
      </c>
      <c r="F37" s="1" t="s">
        <v>19</v>
      </c>
      <c r="G37" s="1" t="s">
        <v>19</v>
      </c>
      <c r="H37" s="1" t="s">
        <v>19</v>
      </c>
    </row>
    <row r="38" spans="1:8" ht="59" x14ac:dyDescent="0.75">
      <c r="A38" s="1" t="s">
        <v>24</v>
      </c>
      <c r="B38" s="1" t="s">
        <v>17</v>
      </c>
      <c r="C38" s="1" t="s">
        <v>33</v>
      </c>
      <c r="D38" s="1" t="s">
        <v>19</v>
      </c>
      <c r="E38" s="1" t="s">
        <v>19</v>
      </c>
      <c r="F38" s="1" t="s">
        <v>19</v>
      </c>
      <c r="G38" s="1" t="s">
        <v>19</v>
      </c>
      <c r="H38" s="1" t="s">
        <v>59</v>
      </c>
    </row>
    <row r="39" spans="1:8" ht="59" x14ac:dyDescent="0.75">
      <c r="A39" s="1" t="s">
        <v>20</v>
      </c>
      <c r="B39" s="1" t="s">
        <v>25</v>
      </c>
      <c r="C39" s="1" t="s">
        <v>41</v>
      </c>
      <c r="D39" s="1" t="s">
        <v>19</v>
      </c>
      <c r="E39" s="1" t="s">
        <v>19</v>
      </c>
      <c r="F39" s="1" t="s">
        <v>19</v>
      </c>
      <c r="G39" s="1" t="s">
        <v>19</v>
      </c>
      <c r="H39" s="1" t="s">
        <v>19</v>
      </c>
    </row>
    <row r="40" spans="1:8" ht="44.25" x14ac:dyDescent="0.75">
      <c r="A40" s="1" t="s">
        <v>60</v>
      </c>
      <c r="B40" s="1" t="s">
        <v>21</v>
      </c>
      <c r="C40" s="1" t="s">
        <v>61</v>
      </c>
      <c r="D40" s="1" t="s">
        <v>19</v>
      </c>
      <c r="E40" s="1" t="s">
        <v>19</v>
      </c>
      <c r="F40" s="1" t="s">
        <v>19</v>
      </c>
      <c r="G40" s="1" t="s">
        <v>19</v>
      </c>
      <c r="H40" s="1" t="s">
        <v>19</v>
      </c>
    </row>
    <row r="41" spans="1:8" ht="59" x14ac:dyDescent="0.75">
      <c r="A41" s="1" t="s">
        <v>16</v>
      </c>
      <c r="B41" s="1" t="s">
        <v>25</v>
      </c>
      <c r="C41" s="1" t="s">
        <v>61</v>
      </c>
      <c r="D41" s="1" t="s">
        <v>19</v>
      </c>
      <c r="E41" s="1" t="s">
        <v>62</v>
      </c>
      <c r="F41" s="1" t="s">
        <v>19</v>
      </c>
      <c r="G41" s="1" t="s">
        <v>19</v>
      </c>
      <c r="H41" s="1" t="s">
        <v>19</v>
      </c>
    </row>
    <row r="42" spans="1:8" ht="59" x14ac:dyDescent="0.75">
      <c r="A42" s="1" t="s">
        <v>63</v>
      </c>
      <c r="B42" s="1" t="s">
        <v>36</v>
      </c>
      <c r="C42" s="1" t="s">
        <v>39</v>
      </c>
      <c r="D42" s="1" t="s">
        <v>19</v>
      </c>
      <c r="E42" s="1" t="s">
        <v>19</v>
      </c>
      <c r="F42" s="1" t="s">
        <v>19</v>
      </c>
      <c r="G42" s="1" t="s">
        <v>19</v>
      </c>
      <c r="H42" s="1" t="s">
        <v>19</v>
      </c>
    </row>
    <row r="43" spans="1:8" ht="29.5" x14ac:dyDescent="0.75">
      <c r="A43" s="1" t="s">
        <v>29</v>
      </c>
      <c r="B43" s="1" t="s">
        <v>21</v>
      </c>
      <c r="C43" s="1" t="s">
        <v>37</v>
      </c>
      <c r="D43" s="1" t="s">
        <v>19</v>
      </c>
      <c r="E43" s="1" t="s">
        <v>64</v>
      </c>
      <c r="F43" s="1" t="s">
        <v>19</v>
      </c>
      <c r="G43" s="1" t="s">
        <v>19</v>
      </c>
      <c r="H43" s="1" t="s">
        <v>19</v>
      </c>
    </row>
    <row r="44" spans="1:8" ht="59" x14ac:dyDescent="0.75">
      <c r="A44" s="1" t="s">
        <v>16</v>
      </c>
      <c r="B44" s="1" t="s">
        <v>25</v>
      </c>
      <c r="C44" s="1" t="s">
        <v>39</v>
      </c>
      <c r="D44" s="1" t="s">
        <v>19</v>
      </c>
      <c r="E44" s="1" t="s">
        <v>19</v>
      </c>
      <c r="F44" s="1" t="s">
        <v>19</v>
      </c>
      <c r="G44" s="1" t="s">
        <v>65</v>
      </c>
      <c r="H44" s="1" t="s">
        <v>19</v>
      </c>
    </row>
    <row r="45" spans="1:8" ht="103.25" x14ac:dyDescent="0.75">
      <c r="A45" s="1" t="s">
        <v>24</v>
      </c>
      <c r="B45" s="1" t="s">
        <v>25</v>
      </c>
      <c r="C45" s="1" t="s">
        <v>28</v>
      </c>
      <c r="D45" s="1" t="s">
        <v>19</v>
      </c>
      <c r="E45" s="1" t="s">
        <v>19</v>
      </c>
      <c r="F45" s="1" t="s">
        <v>19</v>
      </c>
      <c r="G45" s="1" t="s">
        <v>19</v>
      </c>
      <c r="H45" s="1" t="s">
        <v>19</v>
      </c>
    </row>
    <row r="46" spans="1:8" ht="29.5" x14ac:dyDescent="0.75">
      <c r="A46" s="1" t="s">
        <v>24</v>
      </c>
      <c r="B46" s="1" t="s">
        <v>21</v>
      </c>
      <c r="C46" s="1" t="s">
        <v>26</v>
      </c>
      <c r="D46" s="1" t="s">
        <v>66</v>
      </c>
      <c r="E46" s="1" t="s">
        <v>19</v>
      </c>
      <c r="F46" s="1" t="s">
        <v>19</v>
      </c>
      <c r="G46" s="1" t="s">
        <v>19</v>
      </c>
      <c r="H46" s="1" t="s">
        <v>19</v>
      </c>
    </row>
    <row r="47" spans="1:8" ht="59" x14ac:dyDescent="0.75">
      <c r="A47" s="1" t="s">
        <v>20</v>
      </c>
      <c r="B47" s="1" t="s">
        <v>25</v>
      </c>
      <c r="C47" s="1" t="s">
        <v>45</v>
      </c>
      <c r="D47" s="1" t="s">
        <v>19</v>
      </c>
      <c r="E47" s="1" t="s">
        <v>19</v>
      </c>
      <c r="F47" s="1" t="s">
        <v>19</v>
      </c>
      <c r="G47" s="1" t="s">
        <v>19</v>
      </c>
      <c r="H47" s="1" t="s">
        <v>19</v>
      </c>
    </row>
    <row r="48" spans="1:8" ht="88.5" x14ac:dyDescent="0.75">
      <c r="A48" s="1" t="s">
        <v>20</v>
      </c>
      <c r="B48" s="1" t="s">
        <v>27</v>
      </c>
      <c r="C48" s="1" t="s">
        <v>26</v>
      </c>
      <c r="D48" s="1" t="s">
        <v>19</v>
      </c>
      <c r="E48" s="1" t="s">
        <v>19</v>
      </c>
      <c r="F48" s="1" t="s">
        <v>19</v>
      </c>
      <c r="G48" s="1" t="s">
        <v>19</v>
      </c>
      <c r="H48" s="1" t="s">
        <v>19</v>
      </c>
    </row>
    <row r="49" spans="1:8" ht="59" x14ac:dyDescent="0.75">
      <c r="A49" s="1" t="s">
        <v>16</v>
      </c>
      <c r="B49" s="1" t="s">
        <v>36</v>
      </c>
      <c r="C49" s="1" t="s">
        <v>67</v>
      </c>
      <c r="D49" s="1" t="s">
        <v>19</v>
      </c>
      <c r="E49" s="1" t="s">
        <v>19</v>
      </c>
      <c r="F49" s="1" t="s">
        <v>19</v>
      </c>
      <c r="G49" s="1" t="s">
        <v>19</v>
      </c>
      <c r="H49" s="1" t="s">
        <v>19</v>
      </c>
    </row>
    <row r="50" spans="1:8" ht="44.25" x14ac:dyDescent="0.75">
      <c r="A50" s="1" t="s">
        <v>16</v>
      </c>
      <c r="B50" s="1" t="s">
        <v>36</v>
      </c>
      <c r="C50" s="1" t="s">
        <v>43</v>
      </c>
      <c r="D50" s="1" t="s">
        <v>19</v>
      </c>
      <c r="E50" s="1" t="s">
        <v>19</v>
      </c>
      <c r="F50" s="1" t="s">
        <v>19</v>
      </c>
      <c r="G50" s="1" t="s">
        <v>19</v>
      </c>
      <c r="H50" s="1" t="s">
        <v>19</v>
      </c>
    </row>
    <row r="51" spans="1:8" ht="59" x14ac:dyDescent="0.75">
      <c r="A51" s="1" t="s">
        <v>16</v>
      </c>
      <c r="B51" s="1" t="s">
        <v>25</v>
      </c>
      <c r="C51" s="1" t="s">
        <v>43</v>
      </c>
      <c r="D51" s="1" t="s">
        <v>19</v>
      </c>
      <c r="E51" s="1" t="s">
        <v>19</v>
      </c>
      <c r="F51" s="1" t="s">
        <v>68</v>
      </c>
      <c r="G51" s="1" t="s">
        <v>19</v>
      </c>
      <c r="H51" s="1" t="s">
        <v>19</v>
      </c>
    </row>
    <row r="52" spans="1:8" ht="88.5" x14ac:dyDescent="0.75">
      <c r="A52" s="1" t="s">
        <v>20</v>
      </c>
      <c r="B52" s="1" t="s">
        <v>27</v>
      </c>
      <c r="C52" s="1" t="s">
        <v>53</v>
      </c>
      <c r="D52" s="1" t="s">
        <v>19</v>
      </c>
      <c r="E52" s="1" t="s">
        <v>19</v>
      </c>
      <c r="F52" s="1" t="s">
        <v>19</v>
      </c>
      <c r="G52" s="1" t="s">
        <v>19</v>
      </c>
      <c r="H52" s="1" t="s">
        <v>19</v>
      </c>
    </row>
    <row r="53" spans="1:8" ht="59" x14ac:dyDescent="0.75">
      <c r="A53" s="1" t="s">
        <v>24</v>
      </c>
      <c r="B53" s="1" t="s">
        <v>25</v>
      </c>
      <c r="C53" s="1" t="s">
        <v>46</v>
      </c>
      <c r="D53" s="1" t="s">
        <v>19</v>
      </c>
      <c r="E53" s="1" t="s">
        <v>19</v>
      </c>
      <c r="F53" s="1" t="s">
        <v>19</v>
      </c>
      <c r="G53" s="1" t="s">
        <v>19</v>
      </c>
      <c r="H53" s="1" t="s">
        <v>19</v>
      </c>
    </row>
    <row r="54" spans="1:8" ht="88.5" x14ac:dyDescent="0.75">
      <c r="A54" s="1" t="s">
        <v>29</v>
      </c>
      <c r="B54" s="1" t="s">
        <v>69</v>
      </c>
      <c r="C54" s="1" t="s">
        <v>45</v>
      </c>
      <c r="D54" s="1" t="s">
        <v>19</v>
      </c>
      <c r="E54" s="1" t="s">
        <v>19</v>
      </c>
      <c r="F54" s="1" t="s">
        <v>19</v>
      </c>
      <c r="G54" s="1" t="s">
        <v>19</v>
      </c>
      <c r="H54" s="1" t="s">
        <v>19</v>
      </c>
    </row>
    <row r="55" spans="1:8" ht="59" x14ac:dyDescent="0.75">
      <c r="A55" s="1" t="s">
        <v>60</v>
      </c>
      <c r="B55" s="1" t="s">
        <v>25</v>
      </c>
      <c r="C55" s="1" t="s">
        <v>46</v>
      </c>
      <c r="D55" s="1" t="s">
        <v>19</v>
      </c>
      <c r="E55" s="1" t="s">
        <v>19</v>
      </c>
      <c r="F55" s="1" t="s">
        <v>19</v>
      </c>
      <c r="G55" s="1" t="s">
        <v>70</v>
      </c>
      <c r="H55" s="1" t="s">
        <v>19</v>
      </c>
    </row>
    <row r="56" spans="1:8" ht="88.5" x14ac:dyDescent="0.75">
      <c r="A56" s="1" t="s">
        <v>20</v>
      </c>
      <c r="B56" s="1" t="s">
        <v>30</v>
      </c>
      <c r="C56" s="1" t="s">
        <v>71</v>
      </c>
      <c r="D56" s="1" t="s">
        <v>19</v>
      </c>
      <c r="E56" s="1" t="s">
        <v>19</v>
      </c>
      <c r="F56" s="1" t="s">
        <v>19</v>
      </c>
      <c r="G56" s="1" t="s">
        <v>19</v>
      </c>
      <c r="H56" s="1" t="s">
        <v>19</v>
      </c>
    </row>
    <row r="57" spans="1:8" ht="88.5" x14ac:dyDescent="0.75">
      <c r="A57" s="1" t="s">
        <v>24</v>
      </c>
      <c r="B57" s="1" t="s">
        <v>27</v>
      </c>
      <c r="C57" s="1" t="s">
        <v>45</v>
      </c>
      <c r="D57" s="1" t="s">
        <v>19</v>
      </c>
      <c r="E57" s="1" t="s">
        <v>19</v>
      </c>
      <c r="F57" s="1" t="s">
        <v>19</v>
      </c>
      <c r="G57" s="1" t="s">
        <v>19</v>
      </c>
      <c r="H57" s="1" t="s">
        <v>19</v>
      </c>
    </row>
    <row r="58" spans="1:8" ht="59" x14ac:dyDescent="0.75">
      <c r="A58" s="1" t="s">
        <v>20</v>
      </c>
      <c r="B58" s="1" t="s">
        <v>21</v>
      </c>
      <c r="C58" s="1" t="s">
        <v>26</v>
      </c>
      <c r="D58" s="1" t="s">
        <v>72</v>
      </c>
      <c r="E58" s="1" t="s">
        <v>19</v>
      </c>
      <c r="F58" s="1" t="s">
        <v>19</v>
      </c>
      <c r="G58" s="1" t="s">
        <v>19</v>
      </c>
      <c r="H58" s="1" t="s">
        <v>19</v>
      </c>
    </row>
    <row r="59" spans="1:8" ht="88.5" x14ac:dyDescent="0.75">
      <c r="A59" s="1" t="s">
        <v>60</v>
      </c>
      <c r="B59" s="1" t="s">
        <v>27</v>
      </c>
      <c r="C59" s="1" t="s">
        <v>37</v>
      </c>
      <c r="D59" s="1" t="s">
        <v>19</v>
      </c>
      <c r="E59" s="1" t="s">
        <v>19</v>
      </c>
      <c r="F59" s="1" t="s">
        <v>73</v>
      </c>
      <c r="G59" s="1" t="s">
        <v>19</v>
      </c>
      <c r="H59" s="1" t="s">
        <v>19</v>
      </c>
    </row>
    <row r="60" spans="1:8" ht="29.5" x14ac:dyDescent="0.75">
      <c r="A60" s="1" t="s">
        <v>74</v>
      </c>
      <c r="B60" s="1" t="s">
        <v>21</v>
      </c>
      <c r="C60" s="1" t="s">
        <v>37</v>
      </c>
      <c r="D60" s="1" t="s">
        <v>19</v>
      </c>
      <c r="E60" s="1" t="s">
        <v>19</v>
      </c>
      <c r="F60" s="1" t="s">
        <v>19</v>
      </c>
      <c r="G60" s="1" t="s">
        <v>19</v>
      </c>
      <c r="H60" s="1" t="s">
        <v>19</v>
      </c>
    </row>
    <row r="61" spans="1:8" ht="59" x14ac:dyDescent="0.75">
      <c r="A61" s="1" t="s">
        <v>63</v>
      </c>
      <c r="B61" s="1" t="s">
        <v>25</v>
      </c>
      <c r="C61" s="1" t="s">
        <v>75</v>
      </c>
      <c r="D61" s="1" t="s">
        <v>19</v>
      </c>
      <c r="E61" s="1" t="s">
        <v>19</v>
      </c>
      <c r="F61" s="1" t="s">
        <v>19</v>
      </c>
      <c r="G61" s="1" t="s">
        <v>19</v>
      </c>
      <c r="H61" s="1" t="s">
        <v>19</v>
      </c>
    </row>
    <row r="62" spans="1:8" ht="44.25" x14ac:dyDescent="0.75">
      <c r="A62" s="1" t="s">
        <v>24</v>
      </c>
      <c r="B62" s="1" t="s">
        <v>21</v>
      </c>
      <c r="C62" s="1" t="s">
        <v>61</v>
      </c>
      <c r="D62" s="1" t="s">
        <v>19</v>
      </c>
      <c r="E62" s="1" t="s">
        <v>76</v>
      </c>
      <c r="F62" s="1" t="s">
        <v>19</v>
      </c>
      <c r="G62" s="1" t="s">
        <v>19</v>
      </c>
      <c r="H62" s="1" t="s">
        <v>19</v>
      </c>
    </row>
    <row r="63" spans="1:8" ht="88.5" x14ac:dyDescent="0.75">
      <c r="A63" s="1" t="s">
        <v>20</v>
      </c>
      <c r="B63" s="1" t="s">
        <v>27</v>
      </c>
      <c r="C63" s="1" t="s">
        <v>26</v>
      </c>
      <c r="D63" s="1" t="s">
        <v>19</v>
      </c>
      <c r="E63" s="1" t="s">
        <v>19</v>
      </c>
      <c r="F63" s="1" t="s">
        <v>77</v>
      </c>
      <c r="G63" s="1" t="s">
        <v>19</v>
      </c>
      <c r="H63" s="1" t="s">
        <v>19</v>
      </c>
    </row>
    <row r="64" spans="1:8" ht="73.75" x14ac:dyDescent="0.75">
      <c r="A64" s="1" t="s">
        <v>16</v>
      </c>
      <c r="B64" s="1" t="s">
        <v>17</v>
      </c>
      <c r="C64" s="1" t="s">
        <v>48</v>
      </c>
      <c r="D64" s="1" t="s">
        <v>19</v>
      </c>
      <c r="E64" s="1" t="s">
        <v>78</v>
      </c>
      <c r="F64" s="1" t="s">
        <v>19</v>
      </c>
      <c r="G64" s="1" t="s">
        <v>19</v>
      </c>
      <c r="H64" s="1" t="s">
        <v>19</v>
      </c>
    </row>
    <row r="65" spans="1:8" ht="59" x14ac:dyDescent="0.75">
      <c r="A65" s="1" t="s">
        <v>63</v>
      </c>
      <c r="B65" s="1" t="s">
        <v>25</v>
      </c>
      <c r="C65" s="1" t="s">
        <v>53</v>
      </c>
      <c r="D65" s="1" t="s">
        <v>19</v>
      </c>
      <c r="E65" s="1" t="s">
        <v>19</v>
      </c>
      <c r="F65" s="1" t="s">
        <v>19</v>
      </c>
      <c r="G65" s="1" t="s">
        <v>19</v>
      </c>
      <c r="H65" s="1" t="s">
        <v>79</v>
      </c>
    </row>
    <row r="66" spans="1:8" ht="59" x14ac:dyDescent="0.75">
      <c r="A66" s="1" t="s">
        <v>20</v>
      </c>
      <c r="B66" s="1" t="s">
        <v>17</v>
      </c>
      <c r="C66" s="1" t="s">
        <v>43</v>
      </c>
      <c r="D66" s="1" t="s">
        <v>19</v>
      </c>
      <c r="E66" s="1" t="s">
        <v>19</v>
      </c>
      <c r="F66" s="1" t="s">
        <v>80</v>
      </c>
      <c r="G66" s="1" t="s">
        <v>19</v>
      </c>
      <c r="H66" s="1" t="s">
        <v>19</v>
      </c>
    </row>
    <row r="67" spans="1:8" ht="59" x14ac:dyDescent="0.75">
      <c r="A67" s="1" t="s">
        <v>20</v>
      </c>
      <c r="B67" s="1" t="s">
        <v>17</v>
      </c>
      <c r="C67" s="1" t="s">
        <v>45</v>
      </c>
      <c r="D67" s="1" t="s">
        <v>19</v>
      </c>
      <c r="E67" s="1" t="s">
        <v>81</v>
      </c>
      <c r="F67" s="1" t="s">
        <v>19</v>
      </c>
      <c r="G67" s="1" t="s">
        <v>19</v>
      </c>
      <c r="H67" s="1" t="s">
        <v>19</v>
      </c>
    </row>
    <row r="68" spans="1:8" ht="44.25" x14ac:dyDescent="0.75">
      <c r="A68" s="1" t="s">
        <v>24</v>
      </c>
      <c r="B68" s="1" t="s">
        <v>21</v>
      </c>
      <c r="C68" s="1" t="s">
        <v>41</v>
      </c>
      <c r="D68" s="1" t="s">
        <v>19</v>
      </c>
      <c r="E68" s="1" t="s">
        <v>19</v>
      </c>
      <c r="F68" s="1" t="s">
        <v>19</v>
      </c>
      <c r="G68" s="1" t="s">
        <v>82</v>
      </c>
      <c r="H68" s="1" t="s">
        <v>19</v>
      </c>
    </row>
    <row r="69" spans="1:8" ht="59" x14ac:dyDescent="0.75">
      <c r="A69" s="1" t="s">
        <v>16</v>
      </c>
      <c r="B69" s="1" t="s">
        <v>17</v>
      </c>
      <c r="C69" s="1" t="s">
        <v>43</v>
      </c>
      <c r="D69" s="1" t="s">
        <v>19</v>
      </c>
      <c r="E69" s="1" t="s">
        <v>19</v>
      </c>
      <c r="F69" s="1" t="s">
        <v>19</v>
      </c>
      <c r="G69" s="1" t="s">
        <v>19</v>
      </c>
      <c r="H69" s="1" t="s">
        <v>83</v>
      </c>
    </row>
    <row r="70" spans="1:8" ht="59" x14ac:dyDescent="0.75">
      <c r="A70" s="1" t="s">
        <v>63</v>
      </c>
      <c r="B70" s="1" t="s">
        <v>17</v>
      </c>
      <c r="C70" s="1" t="s">
        <v>43</v>
      </c>
      <c r="D70" s="1" t="s">
        <v>19</v>
      </c>
      <c r="E70" s="1" t="s">
        <v>84</v>
      </c>
      <c r="F70" s="1" t="s">
        <v>19</v>
      </c>
      <c r="G70" s="1" t="s">
        <v>19</v>
      </c>
      <c r="H70" s="1" t="s">
        <v>19</v>
      </c>
    </row>
    <row r="71" spans="1:8" ht="88.5" x14ac:dyDescent="0.75">
      <c r="A71" s="1" t="s">
        <v>63</v>
      </c>
      <c r="B71" s="1" t="s">
        <v>30</v>
      </c>
      <c r="C71" s="1" t="s">
        <v>18</v>
      </c>
      <c r="D71" s="1" t="s">
        <v>19</v>
      </c>
      <c r="E71" s="1" t="s">
        <v>19</v>
      </c>
      <c r="F71" s="1" t="s">
        <v>19</v>
      </c>
      <c r="G71" s="1" t="s">
        <v>19</v>
      </c>
      <c r="H71" s="1" t="s">
        <v>19</v>
      </c>
    </row>
    <row r="72" spans="1:8" ht="59" x14ac:dyDescent="0.75">
      <c r="A72" s="1" t="s">
        <v>24</v>
      </c>
      <c r="B72" s="1" t="s">
        <v>25</v>
      </c>
      <c r="C72" s="1" t="s">
        <v>43</v>
      </c>
      <c r="D72" s="1" t="s">
        <v>85</v>
      </c>
      <c r="E72" s="1" t="s">
        <v>19</v>
      </c>
      <c r="F72" s="1" t="s">
        <v>19</v>
      </c>
      <c r="G72" s="1" t="s">
        <v>19</v>
      </c>
      <c r="H72" s="1" t="s">
        <v>19</v>
      </c>
    </row>
    <row r="73" spans="1:8" ht="88.5" x14ac:dyDescent="0.75">
      <c r="A73" s="1" t="s">
        <v>24</v>
      </c>
      <c r="B73" s="1" t="s">
        <v>30</v>
      </c>
      <c r="C73" s="1" t="s">
        <v>43</v>
      </c>
      <c r="D73" s="1" t="s">
        <v>19</v>
      </c>
      <c r="E73" s="1" t="s">
        <v>19</v>
      </c>
      <c r="F73" s="1" t="s">
        <v>19</v>
      </c>
      <c r="G73" s="1" t="s">
        <v>19</v>
      </c>
      <c r="H73" s="1" t="s">
        <v>19</v>
      </c>
    </row>
    <row r="74" spans="1:8" ht="88.5" x14ac:dyDescent="0.75">
      <c r="A74" s="1" t="s">
        <v>20</v>
      </c>
      <c r="B74" s="1" t="s">
        <v>69</v>
      </c>
      <c r="C74" s="1" t="s">
        <v>75</v>
      </c>
      <c r="D74" s="1" t="s">
        <v>19</v>
      </c>
      <c r="E74" s="1" t="s">
        <v>19</v>
      </c>
      <c r="F74" s="1" t="s">
        <v>19</v>
      </c>
      <c r="G74" s="1" t="s">
        <v>86</v>
      </c>
      <c r="H74" s="1" t="s">
        <v>19</v>
      </c>
    </row>
    <row r="75" spans="1:8" ht="103.25" x14ac:dyDescent="0.75">
      <c r="A75" s="1" t="s">
        <v>20</v>
      </c>
      <c r="B75" s="1" t="s">
        <v>25</v>
      </c>
      <c r="C75" s="1" t="s">
        <v>28</v>
      </c>
      <c r="D75" s="1" t="s">
        <v>19</v>
      </c>
      <c r="E75" s="1" t="s">
        <v>19</v>
      </c>
      <c r="F75" s="1" t="s">
        <v>19</v>
      </c>
      <c r="G75" s="1" t="s">
        <v>19</v>
      </c>
      <c r="H75" s="1" t="s">
        <v>19</v>
      </c>
    </row>
    <row r="76" spans="1:8" ht="88.5" x14ac:dyDescent="0.75">
      <c r="A76" s="1" t="s">
        <v>24</v>
      </c>
      <c r="B76" s="1" t="s">
        <v>30</v>
      </c>
      <c r="C76" s="1" t="s">
        <v>41</v>
      </c>
      <c r="D76" s="1" t="s">
        <v>19</v>
      </c>
      <c r="E76" s="1" t="s">
        <v>19</v>
      </c>
      <c r="F76" s="1" t="s">
        <v>19</v>
      </c>
      <c r="G76" s="1" t="s">
        <v>19</v>
      </c>
      <c r="H76" s="1" t="s">
        <v>87</v>
      </c>
    </row>
    <row r="77" spans="1:8" ht="147.5" x14ac:dyDescent="0.75">
      <c r="A77" s="1" t="s">
        <v>20</v>
      </c>
      <c r="B77" s="1" t="s">
        <v>25</v>
      </c>
      <c r="C77" s="1" t="s">
        <v>75</v>
      </c>
      <c r="D77" s="1" t="s">
        <v>19</v>
      </c>
      <c r="E77" s="1" t="s">
        <v>19</v>
      </c>
      <c r="F77" s="1" t="s">
        <v>88</v>
      </c>
      <c r="G77" s="1" t="s">
        <v>19</v>
      </c>
      <c r="H77" s="1" t="s">
        <v>19</v>
      </c>
    </row>
    <row r="78" spans="1:8" ht="59" x14ac:dyDescent="0.75">
      <c r="A78" s="1" t="s">
        <v>63</v>
      </c>
      <c r="B78" s="1" t="s">
        <v>25</v>
      </c>
      <c r="C78" s="1" t="s">
        <v>53</v>
      </c>
      <c r="D78" s="1" t="s">
        <v>19</v>
      </c>
      <c r="E78" s="1" t="s">
        <v>19</v>
      </c>
      <c r="F78" s="1" t="s">
        <v>19</v>
      </c>
      <c r="G78" s="1" t="s">
        <v>19</v>
      </c>
      <c r="H78" s="1" t="s">
        <v>19</v>
      </c>
    </row>
    <row r="79" spans="1:8" ht="88.5" x14ac:dyDescent="0.75">
      <c r="A79" s="1" t="s">
        <v>20</v>
      </c>
      <c r="B79" s="1" t="s">
        <v>30</v>
      </c>
      <c r="C79" s="1" t="s">
        <v>31</v>
      </c>
      <c r="D79" s="1" t="s">
        <v>19</v>
      </c>
      <c r="E79" s="1" t="s">
        <v>19</v>
      </c>
      <c r="F79" s="1" t="s">
        <v>19</v>
      </c>
      <c r="G79" s="1" t="s">
        <v>19</v>
      </c>
      <c r="H79" s="1" t="s">
        <v>19</v>
      </c>
    </row>
    <row r="80" spans="1:8" ht="88.5" x14ac:dyDescent="0.75">
      <c r="A80" s="1" t="s">
        <v>29</v>
      </c>
      <c r="B80" s="1" t="s">
        <v>30</v>
      </c>
      <c r="C80" s="1" t="s">
        <v>43</v>
      </c>
      <c r="D80" s="1" t="s">
        <v>19</v>
      </c>
      <c r="E80" s="1" t="s">
        <v>19</v>
      </c>
      <c r="F80" s="1" t="s">
        <v>19</v>
      </c>
      <c r="G80" s="1" t="s">
        <v>19</v>
      </c>
      <c r="H80" s="1" t="s">
        <v>19</v>
      </c>
    </row>
    <row r="81" spans="1:8" ht="59" x14ac:dyDescent="0.75">
      <c r="A81" s="1" t="s">
        <v>63</v>
      </c>
      <c r="B81" s="1" t="s">
        <v>25</v>
      </c>
      <c r="C81" s="1" t="s">
        <v>18</v>
      </c>
      <c r="D81" s="1" t="s">
        <v>89</v>
      </c>
      <c r="E81" s="1" t="s">
        <v>19</v>
      </c>
      <c r="F81" s="1" t="s">
        <v>19</v>
      </c>
      <c r="G81" s="1" t="s">
        <v>19</v>
      </c>
      <c r="H81" s="1" t="s">
        <v>19</v>
      </c>
    </row>
    <row r="82" spans="1:8" ht="88.5" x14ac:dyDescent="0.75">
      <c r="A82" s="1" t="s">
        <v>29</v>
      </c>
      <c r="B82" s="1" t="s">
        <v>27</v>
      </c>
      <c r="C82" s="1" t="s">
        <v>37</v>
      </c>
      <c r="D82" s="1" t="s">
        <v>19</v>
      </c>
      <c r="E82" s="1" t="s">
        <v>19</v>
      </c>
      <c r="F82" s="1" t="s">
        <v>19</v>
      </c>
      <c r="G82" s="1" t="s">
        <v>19</v>
      </c>
      <c r="H82" s="1" t="s">
        <v>19</v>
      </c>
    </row>
    <row r="83" spans="1:8" ht="88.5" x14ac:dyDescent="0.75">
      <c r="A83" s="1" t="s">
        <v>63</v>
      </c>
      <c r="B83" s="1" t="s">
        <v>30</v>
      </c>
      <c r="C83" s="1" t="s">
        <v>39</v>
      </c>
      <c r="D83" s="1" t="s">
        <v>19</v>
      </c>
      <c r="E83" s="1" t="s">
        <v>19</v>
      </c>
      <c r="F83" s="1" t="s">
        <v>19</v>
      </c>
      <c r="G83" s="1" t="s">
        <v>19</v>
      </c>
      <c r="H83" s="1" t="s">
        <v>19</v>
      </c>
    </row>
    <row r="84" spans="1:8" ht="59" x14ac:dyDescent="0.75">
      <c r="A84" s="1" t="s">
        <v>24</v>
      </c>
      <c r="B84" s="1" t="s">
        <v>17</v>
      </c>
      <c r="C84" s="1" t="s">
        <v>31</v>
      </c>
      <c r="D84" s="1" t="s">
        <v>19</v>
      </c>
      <c r="E84" s="1" t="s">
        <v>19</v>
      </c>
      <c r="F84" s="1" t="s">
        <v>19</v>
      </c>
      <c r="G84" s="1" t="s">
        <v>19</v>
      </c>
      <c r="H84" s="1" t="s">
        <v>19</v>
      </c>
    </row>
    <row r="85" spans="1:8" ht="29.5" x14ac:dyDescent="0.75">
      <c r="A85" s="1" t="s">
        <v>16</v>
      </c>
      <c r="B85" s="1" t="s">
        <v>21</v>
      </c>
      <c r="C85" s="1" t="s">
        <v>37</v>
      </c>
      <c r="D85" s="1" t="s">
        <v>19</v>
      </c>
      <c r="E85" s="1" t="s">
        <v>90</v>
      </c>
      <c r="F85" s="1" t="s">
        <v>19</v>
      </c>
      <c r="G85" s="1" t="s">
        <v>19</v>
      </c>
      <c r="H85" s="1" t="s">
        <v>19</v>
      </c>
    </row>
    <row r="86" spans="1:8" ht="88.5" x14ac:dyDescent="0.75">
      <c r="A86" s="1" t="s">
        <v>16</v>
      </c>
      <c r="B86" s="1" t="s">
        <v>30</v>
      </c>
      <c r="C86" s="1" t="s">
        <v>67</v>
      </c>
      <c r="D86" s="1" t="s">
        <v>19</v>
      </c>
      <c r="E86" s="1" t="s">
        <v>19</v>
      </c>
      <c r="F86" s="1" t="s">
        <v>19</v>
      </c>
      <c r="G86" s="1" t="s">
        <v>19</v>
      </c>
      <c r="H86" s="1" t="s">
        <v>19</v>
      </c>
    </row>
    <row r="87" spans="1:8" ht="59" x14ac:dyDescent="0.75">
      <c r="A87" s="1" t="s">
        <v>16</v>
      </c>
      <c r="B87" s="1" t="s">
        <v>17</v>
      </c>
      <c r="C87" s="1" t="s">
        <v>43</v>
      </c>
      <c r="D87" s="1" t="s">
        <v>19</v>
      </c>
      <c r="E87" s="1" t="s">
        <v>91</v>
      </c>
      <c r="F87" s="1" t="s">
        <v>19</v>
      </c>
      <c r="G87" s="1" t="s">
        <v>19</v>
      </c>
      <c r="H87" s="1" t="s">
        <v>19</v>
      </c>
    </row>
    <row r="88" spans="1:8" ht="44.25" x14ac:dyDescent="0.75">
      <c r="A88" s="1" t="s">
        <v>60</v>
      </c>
      <c r="B88" s="1" t="s">
        <v>36</v>
      </c>
      <c r="C88" s="1" t="s">
        <v>37</v>
      </c>
      <c r="D88" s="1" t="s">
        <v>19</v>
      </c>
      <c r="E88" s="1" t="s">
        <v>19</v>
      </c>
      <c r="F88" s="1" t="s">
        <v>92</v>
      </c>
      <c r="G88" s="1" t="s">
        <v>19</v>
      </c>
      <c r="H88" s="1" t="s">
        <v>19</v>
      </c>
    </row>
    <row r="89" spans="1:8" ht="44.25" x14ac:dyDescent="0.75">
      <c r="A89" s="1" t="s">
        <v>63</v>
      </c>
      <c r="B89" s="1" t="s">
        <v>36</v>
      </c>
      <c r="C89" s="1" t="s">
        <v>61</v>
      </c>
      <c r="D89" s="1" t="s">
        <v>19</v>
      </c>
      <c r="E89" s="1" t="s">
        <v>19</v>
      </c>
      <c r="F89" s="1" t="s">
        <v>19</v>
      </c>
      <c r="G89" s="1" t="s">
        <v>19</v>
      </c>
      <c r="H89" s="1" t="s">
        <v>19</v>
      </c>
    </row>
    <row r="90" spans="1:8" ht="44.25" x14ac:dyDescent="0.75">
      <c r="A90" s="1" t="s">
        <v>63</v>
      </c>
      <c r="B90" s="1" t="s">
        <v>36</v>
      </c>
      <c r="C90" s="1" t="s">
        <v>45</v>
      </c>
      <c r="D90" s="1" t="s">
        <v>19</v>
      </c>
      <c r="E90" s="1" t="s">
        <v>19</v>
      </c>
      <c r="F90" s="1" t="s">
        <v>19</v>
      </c>
      <c r="G90" s="1" t="s">
        <v>19</v>
      </c>
      <c r="H90" s="1" t="s">
        <v>19</v>
      </c>
    </row>
    <row r="91" spans="1:8" ht="88.5" x14ac:dyDescent="0.75">
      <c r="A91" s="1" t="s">
        <v>60</v>
      </c>
      <c r="B91" s="1" t="s">
        <v>69</v>
      </c>
      <c r="C91" s="1" t="s">
        <v>37</v>
      </c>
      <c r="D91" s="1" t="s">
        <v>19</v>
      </c>
      <c r="E91" s="1" t="s">
        <v>19</v>
      </c>
      <c r="F91" s="1" t="s">
        <v>19</v>
      </c>
      <c r="G91" s="1" t="s">
        <v>19</v>
      </c>
      <c r="H91" s="1" t="s">
        <v>93</v>
      </c>
    </row>
    <row r="92" spans="1:8" ht="59" x14ac:dyDescent="0.75">
      <c r="A92" s="1" t="s">
        <v>16</v>
      </c>
      <c r="B92" s="1" t="s">
        <v>17</v>
      </c>
      <c r="C92" s="1" t="s">
        <v>26</v>
      </c>
      <c r="D92" s="1" t="s">
        <v>19</v>
      </c>
      <c r="E92" s="1" t="s">
        <v>19</v>
      </c>
      <c r="F92" s="1" t="s">
        <v>19</v>
      </c>
      <c r="G92" s="1" t="s">
        <v>19</v>
      </c>
      <c r="H92" s="1" t="s">
        <v>19</v>
      </c>
    </row>
    <row r="93" spans="1:8" ht="73.75" x14ac:dyDescent="0.75">
      <c r="A93" s="1" t="s">
        <v>20</v>
      </c>
      <c r="B93" s="1" t="s">
        <v>25</v>
      </c>
      <c r="C93" s="1" t="s">
        <v>48</v>
      </c>
      <c r="D93" s="1" t="s">
        <v>19</v>
      </c>
      <c r="E93" s="1" t="s">
        <v>19</v>
      </c>
      <c r="F93" s="1" t="s">
        <v>19</v>
      </c>
      <c r="G93" s="1" t="s">
        <v>19</v>
      </c>
      <c r="H93" s="1" t="s">
        <v>19</v>
      </c>
    </row>
    <row r="94" spans="1:8" ht="88.5" x14ac:dyDescent="0.75">
      <c r="A94" s="1" t="s">
        <v>24</v>
      </c>
      <c r="B94" s="1" t="s">
        <v>69</v>
      </c>
      <c r="C94" s="1" t="s">
        <v>26</v>
      </c>
      <c r="D94" s="1" t="s">
        <v>19</v>
      </c>
      <c r="E94" s="1" t="s">
        <v>19</v>
      </c>
      <c r="F94" s="1" t="s">
        <v>19</v>
      </c>
      <c r="G94" s="1" t="s">
        <v>19</v>
      </c>
      <c r="H94" s="1" t="s">
        <v>19</v>
      </c>
    </row>
    <row r="95" spans="1:8" ht="59" x14ac:dyDescent="0.75">
      <c r="A95" s="1" t="s">
        <v>20</v>
      </c>
      <c r="B95" s="1" t="s">
        <v>25</v>
      </c>
      <c r="C95" s="1" t="s">
        <v>94</v>
      </c>
      <c r="D95" s="1" t="s">
        <v>19</v>
      </c>
      <c r="E95" s="1" t="s">
        <v>19</v>
      </c>
      <c r="F95" s="1" t="s">
        <v>19</v>
      </c>
      <c r="G95" s="1" t="s">
        <v>19</v>
      </c>
      <c r="H95" s="1" t="s">
        <v>95</v>
      </c>
    </row>
    <row r="96" spans="1:8" ht="59" x14ac:dyDescent="0.75">
      <c r="A96" s="1" t="s">
        <v>63</v>
      </c>
      <c r="B96" s="1" t="s">
        <v>36</v>
      </c>
      <c r="C96" s="1" t="s">
        <v>75</v>
      </c>
      <c r="D96" s="1" t="s">
        <v>19</v>
      </c>
      <c r="E96" s="1" t="s">
        <v>19</v>
      </c>
      <c r="F96" s="1" t="s">
        <v>19</v>
      </c>
      <c r="G96" s="1" t="s">
        <v>96</v>
      </c>
      <c r="H96" s="1" t="s">
        <v>19</v>
      </c>
    </row>
    <row r="97" spans="1:8" ht="59" x14ac:dyDescent="0.75">
      <c r="A97" s="1" t="s">
        <v>24</v>
      </c>
      <c r="B97" s="1" t="s">
        <v>17</v>
      </c>
      <c r="C97" s="1" t="s">
        <v>53</v>
      </c>
      <c r="D97" s="1" t="s">
        <v>97</v>
      </c>
      <c r="E97" s="1" t="s">
        <v>19</v>
      </c>
      <c r="F97" s="1" t="s">
        <v>19</v>
      </c>
      <c r="G97" s="1" t="s">
        <v>19</v>
      </c>
      <c r="H97" s="1" t="s">
        <v>19</v>
      </c>
    </row>
    <row r="98" spans="1:8" ht="59" x14ac:dyDescent="0.75">
      <c r="A98" s="1" t="s">
        <v>20</v>
      </c>
      <c r="B98" s="1" t="s">
        <v>25</v>
      </c>
      <c r="C98" s="1" t="s">
        <v>57</v>
      </c>
      <c r="D98" s="1" t="s">
        <v>19</v>
      </c>
      <c r="E98" s="1" t="s">
        <v>98</v>
      </c>
      <c r="F98" s="1" t="s">
        <v>19</v>
      </c>
      <c r="G98" s="1" t="s">
        <v>19</v>
      </c>
      <c r="H98" s="1" t="s">
        <v>19</v>
      </c>
    </row>
    <row r="99" spans="1:8" ht="44.25" x14ac:dyDescent="0.75">
      <c r="A99" s="1" t="s">
        <v>63</v>
      </c>
      <c r="B99" s="1" t="s">
        <v>36</v>
      </c>
      <c r="C99" s="1" t="s">
        <v>75</v>
      </c>
      <c r="D99" s="1" t="s">
        <v>19</v>
      </c>
      <c r="E99" s="1" t="s">
        <v>19</v>
      </c>
      <c r="F99" s="1" t="s">
        <v>19</v>
      </c>
      <c r="G99" s="1" t="s">
        <v>19</v>
      </c>
      <c r="H99" s="1" t="s">
        <v>99</v>
      </c>
    </row>
    <row r="100" spans="1:8" ht="59" x14ac:dyDescent="0.75">
      <c r="A100" s="1" t="s">
        <v>20</v>
      </c>
      <c r="B100" s="1" t="s">
        <v>25</v>
      </c>
      <c r="C100" s="1" t="s">
        <v>22</v>
      </c>
      <c r="D100" s="1" t="s">
        <v>19</v>
      </c>
      <c r="E100" s="1" t="s">
        <v>19</v>
      </c>
      <c r="F100" s="1" t="s">
        <v>19</v>
      </c>
      <c r="G100" s="1" t="s">
        <v>19</v>
      </c>
      <c r="H100" s="1" t="s">
        <v>19</v>
      </c>
    </row>
    <row r="101" spans="1:8" ht="103.25" x14ac:dyDescent="0.75">
      <c r="A101" s="1" t="s">
        <v>24</v>
      </c>
      <c r="B101" s="1" t="s">
        <v>25</v>
      </c>
      <c r="C101" s="1" t="s">
        <v>28</v>
      </c>
      <c r="D101" s="1" t="s">
        <v>19</v>
      </c>
      <c r="E101" s="1" t="s">
        <v>19</v>
      </c>
      <c r="F101" s="1" t="s">
        <v>19</v>
      </c>
      <c r="G101" s="1" t="s">
        <v>19</v>
      </c>
      <c r="H101" s="1" t="s">
        <v>19</v>
      </c>
    </row>
    <row r="102" spans="1:8" ht="59" x14ac:dyDescent="0.75">
      <c r="A102" s="1" t="s">
        <v>24</v>
      </c>
      <c r="B102" s="1" t="s">
        <v>25</v>
      </c>
      <c r="C102" s="1" t="s">
        <v>43</v>
      </c>
      <c r="D102" s="1" t="s">
        <v>19</v>
      </c>
      <c r="E102" s="1" t="s">
        <v>19</v>
      </c>
      <c r="F102" s="1" t="s">
        <v>19</v>
      </c>
      <c r="G102" s="1" t="s">
        <v>19</v>
      </c>
      <c r="H102" s="1" t="s">
        <v>19</v>
      </c>
    </row>
    <row r="103" spans="1:8" ht="88.5" x14ac:dyDescent="0.75">
      <c r="A103" s="1" t="s">
        <v>20</v>
      </c>
      <c r="B103" s="1" t="s">
        <v>30</v>
      </c>
      <c r="C103" s="1" t="s">
        <v>75</v>
      </c>
      <c r="D103" s="1" t="s">
        <v>19</v>
      </c>
      <c r="E103" s="1" t="s">
        <v>100</v>
      </c>
      <c r="F103" s="1" t="s">
        <v>19</v>
      </c>
      <c r="G103" s="1" t="s">
        <v>19</v>
      </c>
      <c r="H103" s="1" t="s">
        <v>19</v>
      </c>
    </row>
    <row r="104" spans="1:8" ht="59" x14ac:dyDescent="0.75">
      <c r="A104" s="1" t="s">
        <v>20</v>
      </c>
      <c r="B104" s="1" t="s">
        <v>36</v>
      </c>
      <c r="C104" s="1" t="s">
        <v>31</v>
      </c>
      <c r="D104" s="1" t="s">
        <v>19</v>
      </c>
      <c r="E104" s="1" t="s">
        <v>19</v>
      </c>
      <c r="F104" s="1" t="s">
        <v>101</v>
      </c>
      <c r="G104" s="1" t="s">
        <v>19</v>
      </c>
      <c r="H104" s="1" t="s">
        <v>19</v>
      </c>
    </row>
    <row r="105" spans="1:8" ht="88.5" x14ac:dyDescent="0.75">
      <c r="A105" s="1" t="s">
        <v>29</v>
      </c>
      <c r="B105" s="1" t="s">
        <v>27</v>
      </c>
      <c r="C105" s="1" t="s">
        <v>26</v>
      </c>
      <c r="D105" s="1" t="s">
        <v>102</v>
      </c>
      <c r="E105" s="1" t="s">
        <v>19</v>
      </c>
      <c r="F105" s="1" t="s">
        <v>19</v>
      </c>
      <c r="G105" s="1" t="s">
        <v>19</v>
      </c>
      <c r="H105" s="1" t="s">
        <v>19</v>
      </c>
    </row>
    <row r="106" spans="1:8" ht="44.25" x14ac:dyDescent="0.75">
      <c r="A106" s="1" t="s">
        <v>16</v>
      </c>
      <c r="B106" s="1" t="s">
        <v>21</v>
      </c>
      <c r="C106" s="1" t="s">
        <v>45</v>
      </c>
      <c r="D106" s="1" t="s">
        <v>103</v>
      </c>
      <c r="E106" s="1" t="s">
        <v>19</v>
      </c>
      <c r="F106" s="1" t="s">
        <v>19</v>
      </c>
      <c r="G106" s="1" t="s">
        <v>19</v>
      </c>
      <c r="H106" s="1" t="s">
        <v>19</v>
      </c>
    </row>
    <row r="107" spans="1:8" ht="59" x14ac:dyDescent="0.75">
      <c r="A107" s="1" t="s">
        <v>20</v>
      </c>
      <c r="B107" s="1" t="s">
        <v>25</v>
      </c>
      <c r="C107" s="1" t="s">
        <v>67</v>
      </c>
      <c r="D107" s="1" t="s">
        <v>19</v>
      </c>
      <c r="E107" s="1" t="s">
        <v>19</v>
      </c>
      <c r="F107" s="1" t="s">
        <v>19</v>
      </c>
      <c r="G107" s="1" t="s">
        <v>19</v>
      </c>
      <c r="H107" s="1" t="s">
        <v>19</v>
      </c>
    </row>
    <row r="108" spans="1:8" ht="29.5" x14ac:dyDescent="0.75">
      <c r="A108" s="1" t="s">
        <v>24</v>
      </c>
      <c r="B108" s="1" t="s">
        <v>21</v>
      </c>
      <c r="C108" s="1" t="s">
        <v>26</v>
      </c>
      <c r="D108" s="1" t="s">
        <v>104</v>
      </c>
      <c r="E108" s="1" t="s">
        <v>19</v>
      </c>
      <c r="F108" s="1" t="s">
        <v>19</v>
      </c>
      <c r="G108" s="1" t="s">
        <v>19</v>
      </c>
      <c r="H108" s="1" t="s">
        <v>19</v>
      </c>
    </row>
    <row r="109" spans="1:8" ht="59" x14ac:dyDescent="0.75">
      <c r="A109" s="1" t="s">
        <v>16</v>
      </c>
      <c r="B109" s="1" t="s">
        <v>25</v>
      </c>
      <c r="C109" s="1" t="s">
        <v>46</v>
      </c>
      <c r="D109" s="1" t="s">
        <v>19</v>
      </c>
      <c r="E109" s="1" t="s">
        <v>19</v>
      </c>
      <c r="F109" s="1" t="s">
        <v>19</v>
      </c>
      <c r="G109" s="1" t="s">
        <v>19</v>
      </c>
      <c r="H109" s="1" t="s">
        <v>19</v>
      </c>
    </row>
    <row r="110" spans="1:8" ht="59" x14ac:dyDescent="0.75">
      <c r="A110" s="1" t="s">
        <v>29</v>
      </c>
      <c r="B110" s="1" t="s">
        <v>25</v>
      </c>
      <c r="C110" s="1" t="s">
        <v>39</v>
      </c>
      <c r="D110" s="1" t="s">
        <v>19</v>
      </c>
      <c r="E110" s="1" t="s">
        <v>105</v>
      </c>
      <c r="F110" s="1" t="s">
        <v>19</v>
      </c>
      <c r="G110" s="1" t="s">
        <v>19</v>
      </c>
      <c r="H110" s="1" t="s">
        <v>19</v>
      </c>
    </row>
    <row r="111" spans="1:8" ht="59" x14ac:dyDescent="0.75">
      <c r="A111" s="1" t="s">
        <v>20</v>
      </c>
      <c r="B111" s="1" t="s">
        <v>25</v>
      </c>
      <c r="C111" s="1" t="s">
        <v>45</v>
      </c>
      <c r="D111" s="1" t="s">
        <v>19</v>
      </c>
      <c r="E111" s="1" t="s">
        <v>19</v>
      </c>
      <c r="F111" s="1" t="s">
        <v>19</v>
      </c>
      <c r="G111" s="1" t="s">
        <v>106</v>
      </c>
      <c r="H111" s="1" t="s">
        <v>19</v>
      </c>
    </row>
    <row r="112" spans="1:8" ht="59" x14ac:dyDescent="0.75">
      <c r="A112" s="1" t="s">
        <v>20</v>
      </c>
      <c r="B112" s="1" t="s">
        <v>25</v>
      </c>
      <c r="C112" s="1" t="s">
        <v>43</v>
      </c>
      <c r="D112" s="1" t="s">
        <v>19</v>
      </c>
      <c r="E112" s="1" t="s">
        <v>19</v>
      </c>
      <c r="F112" s="1" t="s">
        <v>19</v>
      </c>
      <c r="G112" s="1" t="s">
        <v>19</v>
      </c>
      <c r="H112" s="1" t="s">
        <v>19</v>
      </c>
    </row>
    <row r="113" spans="1:8" ht="103.25" x14ac:dyDescent="0.75">
      <c r="A113" s="1" t="s">
        <v>24</v>
      </c>
      <c r="B113" s="1" t="s">
        <v>36</v>
      </c>
      <c r="C113" s="1" t="s">
        <v>28</v>
      </c>
      <c r="D113" s="1" t="s">
        <v>107</v>
      </c>
      <c r="E113" s="1" t="s">
        <v>19</v>
      </c>
      <c r="F113" s="1" t="s">
        <v>19</v>
      </c>
      <c r="G113" s="1" t="s">
        <v>19</v>
      </c>
      <c r="H113" s="1" t="s">
        <v>19</v>
      </c>
    </row>
    <row r="114" spans="1:8" ht="59" x14ac:dyDescent="0.75">
      <c r="A114" s="1" t="s">
        <v>20</v>
      </c>
      <c r="B114" s="1" t="s">
        <v>25</v>
      </c>
      <c r="C114" s="1" t="s">
        <v>31</v>
      </c>
      <c r="D114" s="1" t="s">
        <v>19</v>
      </c>
      <c r="E114" s="1" t="s">
        <v>19</v>
      </c>
      <c r="F114" s="1" t="s">
        <v>19</v>
      </c>
      <c r="G114" s="1" t="s">
        <v>108</v>
      </c>
      <c r="H114" s="1" t="s">
        <v>19</v>
      </c>
    </row>
    <row r="115" spans="1:8" ht="103.25" x14ac:dyDescent="0.75">
      <c r="A115" s="1" t="s">
        <v>16</v>
      </c>
      <c r="B115" s="1" t="s">
        <v>25</v>
      </c>
      <c r="C115" s="1" t="s">
        <v>28</v>
      </c>
      <c r="D115" s="1" t="s">
        <v>19</v>
      </c>
      <c r="E115" s="1" t="s">
        <v>19</v>
      </c>
      <c r="F115" s="1" t="s">
        <v>19</v>
      </c>
      <c r="G115" s="1" t="s">
        <v>19</v>
      </c>
      <c r="H115" s="1" t="s">
        <v>19</v>
      </c>
    </row>
    <row r="116" spans="1:8" ht="29.5" x14ac:dyDescent="0.75">
      <c r="A116" s="1" t="s">
        <v>20</v>
      </c>
      <c r="B116" s="1" t="s">
        <v>21</v>
      </c>
      <c r="C116" s="1" t="s">
        <v>26</v>
      </c>
      <c r="D116" s="1" t="s">
        <v>19</v>
      </c>
      <c r="E116" s="1" t="s">
        <v>19</v>
      </c>
      <c r="F116" s="1" t="s">
        <v>19</v>
      </c>
      <c r="G116" s="1" t="s">
        <v>19</v>
      </c>
      <c r="H116" s="1" t="s">
        <v>19</v>
      </c>
    </row>
    <row r="117" spans="1:8" ht="73.75" x14ac:dyDescent="0.75">
      <c r="A117" s="1" t="s">
        <v>24</v>
      </c>
      <c r="B117" s="1" t="s">
        <v>25</v>
      </c>
      <c r="C117" s="1" t="s">
        <v>48</v>
      </c>
      <c r="D117" s="1" t="s">
        <v>19</v>
      </c>
      <c r="E117" s="1" t="s">
        <v>109</v>
      </c>
      <c r="F117" s="1" t="s">
        <v>19</v>
      </c>
      <c r="G117" s="1" t="s">
        <v>19</v>
      </c>
      <c r="H117" s="1" t="s">
        <v>19</v>
      </c>
    </row>
    <row r="118" spans="1:8" ht="59" x14ac:dyDescent="0.75">
      <c r="A118" s="1" t="s">
        <v>16</v>
      </c>
      <c r="B118" s="1" t="s">
        <v>25</v>
      </c>
      <c r="C118" s="1" t="s">
        <v>43</v>
      </c>
      <c r="D118" s="1" t="s">
        <v>19</v>
      </c>
      <c r="E118" s="1" t="s">
        <v>19</v>
      </c>
      <c r="F118" s="1" t="s">
        <v>19</v>
      </c>
      <c r="G118" s="1" t="s">
        <v>110</v>
      </c>
      <c r="H118" s="1" t="s">
        <v>19</v>
      </c>
    </row>
    <row r="119" spans="1:8" ht="44.25" x14ac:dyDescent="0.75">
      <c r="A119" s="1" t="s">
        <v>63</v>
      </c>
      <c r="B119" s="1" t="s">
        <v>21</v>
      </c>
      <c r="C119" s="1" t="s">
        <v>45</v>
      </c>
      <c r="D119" s="1" t="s">
        <v>19</v>
      </c>
      <c r="E119" s="1" t="s">
        <v>19</v>
      </c>
      <c r="F119" s="1" t="s">
        <v>19</v>
      </c>
      <c r="G119" s="1" t="s">
        <v>19</v>
      </c>
      <c r="H119" s="1" t="s">
        <v>19</v>
      </c>
    </row>
    <row r="120" spans="1:8" ht="59" x14ac:dyDescent="0.75">
      <c r="A120" s="1" t="s">
        <v>20</v>
      </c>
      <c r="B120" s="1" t="s">
        <v>17</v>
      </c>
      <c r="C120" s="1" t="s">
        <v>43</v>
      </c>
      <c r="D120" s="1" t="s">
        <v>19</v>
      </c>
      <c r="E120" s="1" t="s">
        <v>19</v>
      </c>
      <c r="F120" s="1" t="s">
        <v>19</v>
      </c>
      <c r="G120" s="1" t="s">
        <v>111</v>
      </c>
      <c r="H120" s="1" t="s">
        <v>19</v>
      </c>
    </row>
    <row r="121" spans="1:8" ht="59" x14ac:dyDescent="0.75">
      <c r="A121" s="1" t="s">
        <v>16</v>
      </c>
      <c r="B121" s="1" t="s">
        <v>25</v>
      </c>
      <c r="C121" s="1" t="s">
        <v>41</v>
      </c>
      <c r="D121" s="1" t="s">
        <v>19</v>
      </c>
      <c r="E121" s="1" t="s">
        <v>19</v>
      </c>
      <c r="F121" s="1" t="s">
        <v>19</v>
      </c>
      <c r="G121" s="1" t="s">
        <v>19</v>
      </c>
      <c r="H121" s="1" t="s">
        <v>19</v>
      </c>
    </row>
    <row r="122" spans="1:8" ht="59" x14ac:dyDescent="0.75">
      <c r="A122" s="1" t="s">
        <v>24</v>
      </c>
      <c r="B122" s="1" t="s">
        <v>25</v>
      </c>
      <c r="C122" s="1" t="s">
        <v>45</v>
      </c>
      <c r="D122" s="1" t="s">
        <v>19</v>
      </c>
      <c r="E122" s="1" t="s">
        <v>112</v>
      </c>
      <c r="F122" s="1" t="s">
        <v>19</v>
      </c>
      <c r="G122" s="1" t="s">
        <v>19</v>
      </c>
      <c r="H122" s="1" t="s">
        <v>19</v>
      </c>
    </row>
    <row r="123" spans="1:8" ht="44.25" x14ac:dyDescent="0.75">
      <c r="A123" s="1" t="s">
        <v>20</v>
      </c>
      <c r="B123" s="1" t="s">
        <v>36</v>
      </c>
      <c r="C123" s="1" t="s">
        <v>113</v>
      </c>
      <c r="D123" s="1" t="s">
        <v>19</v>
      </c>
      <c r="E123" s="1" t="s">
        <v>19</v>
      </c>
      <c r="F123" s="1" t="s">
        <v>114</v>
      </c>
      <c r="G123" s="1" t="s">
        <v>19</v>
      </c>
      <c r="H123" s="1" t="s">
        <v>19</v>
      </c>
    </row>
    <row r="124" spans="1:8" ht="59" x14ac:dyDescent="0.75">
      <c r="A124" s="1" t="s">
        <v>63</v>
      </c>
      <c r="B124" s="1" t="s">
        <v>36</v>
      </c>
      <c r="C124" s="1" t="s">
        <v>31</v>
      </c>
      <c r="D124" s="1" t="s">
        <v>19</v>
      </c>
      <c r="E124" s="1" t="s">
        <v>19</v>
      </c>
      <c r="F124" s="1" t="s">
        <v>19</v>
      </c>
      <c r="G124" s="1" t="s">
        <v>19</v>
      </c>
      <c r="H124" s="1" t="s">
        <v>19</v>
      </c>
    </row>
    <row r="125" spans="1:8" ht="103.25" x14ac:dyDescent="0.75">
      <c r="A125" s="1" t="s">
        <v>16</v>
      </c>
      <c r="B125" s="1" t="s">
        <v>21</v>
      </c>
      <c r="C125" s="1" t="s">
        <v>28</v>
      </c>
      <c r="D125" s="1" t="s">
        <v>19</v>
      </c>
      <c r="E125" s="1" t="s">
        <v>19</v>
      </c>
      <c r="F125" s="1" t="s">
        <v>19</v>
      </c>
      <c r="G125" s="1" t="s">
        <v>19</v>
      </c>
      <c r="H125" s="1" t="s">
        <v>19</v>
      </c>
    </row>
    <row r="126" spans="1:8" ht="103.25" x14ac:dyDescent="0.75">
      <c r="A126" s="1" t="s">
        <v>16</v>
      </c>
      <c r="B126" s="1" t="s">
        <v>25</v>
      </c>
      <c r="C126" s="1" t="s">
        <v>28</v>
      </c>
      <c r="D126" s="1" t="s">
        <v>19</v>
      </c>
      <c r="E126" s="1" t="s">
        <v>19</v>
      </c>
      <c r="F126" s="1" t="s">
        <v>115</v>
      </c>
      <c r="G126" s="1" t="s">
        <v>19</v>
      </c>
      <c r="H126" s="1" t="s">
        <v>19</v>
      </c>
    </row>
    <row r="127" spans="1:8" ht="59" x14ac:dyDescent="0.75">
      <c r="A127" s="1" t="s">
        <v>20</v>
      </c>
      <c r="B127" s="1" t="s">
        <v>25</v>
      </c>
      <c r="C127" s="1" t="s">
        <v>71</v>
      </c>
      <c r="D127" s="1" t="s">
        <v>19</v>
      </c>
      <c r="E127" s="1" t="s">
        <v>19</v>
      </c>
      <c r="F127" s="1" t="s">
        <v>19</v>
      </c>
      <c r="G127" s="1" t="s">
        <v>19</v>
      </c>
      <c r="H127" s="1" t="s">
        <v>19</v>
      </c>
    </row>
    <row r="128" spans="1:8" ht="59" x14ac:dyDescent="0.75">
      <c r="A128" s="1" t="s">
        <v>29</v>
      </c>
      <c r="B128" s="1" t="s">
        <v>25</v>
      </c>
      <c r="C128" s="1" t="s">
        <v>37</v>
      </c>
      <c r="D128" s="1" t="s">
        <v>19</v>
      </c>
      <c r="E128" s="1" t="s">
        <v>19</v>
      </c>
      <c r="F128" s="1" t="s">
        <v>19</v>
      </c>
      <c r="G128" s="1" t="s">
        <v>19</v>
      </c>
      <c r="H128" s="1" t="s">
        <v>19</v>
      </c>
    </row>
    <row r="129" spans="1:8" ht="59" x14ac:dyDescent="0.75">
      <c r="A129" s="1" t="s">
        <v>24</v>
      </c>
      <c r="B129" s="1" t="s">
        <v>25</v>
      </c>
      <c r="C129" s="1" t="s">
        <v>67</v>
      </c>
      <c r="D129" s="1" t="s">
        <v>19</v>
      </c>
      <c r="E129" s="1" t="s">
        <v>19</v>
      </c>
      <c r="F129" s="1" t="s">
        <v>19</v>
      </c>
      <c r="G129" s="1" t="s">
        <v>19</v>
      </c>
      <c r="H129" s="1" t="s">
        <v>19</v>
      </c>
    </row>
    <row r="130" spans="1:8" ht="59" x14ac:dyDescent="0.75">
      <c r="A130" s="1" t="s">
        <v>20</v>
      </c>
      <c r="B130" s="1" t="s">
        <v>25</v>
      </c>
      <c r="C130" s="1" t="s">
        <v>45</v>
      </c>
      <c r="D130" s="1" t="s">
        <v>19</v>
      </c>
      <c r="E130" s="1" t="s">
        <v>19</v>
      </c>
      <c r="F130" s="1" t="s">
        <v>19</v>
      </c>
      <c r="G130" s="1" t="s">
        <v>19</v>
      </c>
      <c r="H130" s="1" t="s">
        <v>116</v>
      </c>
    </row>
    <row r="131" spans="1:8" ht="59" x14ac:dyDescent="0.75">
      <c r="A131" s="1" t="s">
        <v>20</v>
      </c>
      <c r="B131" s="1" t="s">
        <v>17</v>
      </c>
      <c r="C131" s="1" t="s">
        <v>94</v>
      </c>
      <c r="D131" s="1" t="s">
        <v>117</v>
      </c>
      <c r="E131" s="1" t="s">
        <v>19</v>
      </c>
      <c r="F131" s="1" t="s">
        <v>19</v>
      </c>
      <c r="G131" s="1" t="s">
        <v>19</v>
      </c>
      <c r="H131" s="1" t="s">
        <v>19</v>
      </c>
    </row>
    <row r="132" spans="1:8" ht="59" x14ac:dyDescent="0.75">
      <c r="A132" s="1" t="s">
        <v>63</v>
      </c>
      <c r="B132" s="1" t="s">
        <v>36</v>
      </c>
      <c r="C132" s="1" t="s">
        <v>39</v>
      </c>
      <c r="D132" s="1" t="s">
        <v>19</v>
      </c>
      <c r="E132" s="1" t="s">
        <v>19</v>
      </c>
      <c r="F132" s="1" t="s">
        <v>19</v>
      </c>
      <c r="G132" s="1" t="s">
        <v>19</v>
      </c>
      <c r="H132" s="1" t="s">
        <v>19</v>
      </c>
    </row>
    <row r="133" spans="1:8" ht="59" x14ac:dyDescent="0.75">
      <c r="A133" s="1" t="s">
        <v>16</v>
      </c>
      <c r="B133" s="1" t="s">
        <v>21</v>
      </c>
      <c r="C133" s="1" t="s">
        <v>39</v>
      </c>
      <c r="D133" s="1" t="s">
        <v>19</v>
      </c>
      <c r="E133" s="1" t="s">
        <v>19</v>
      </c>
      <c r="F133" s="1" t="s">
        <v>19</v>
      </c>
      <c r="G133" s="1" t="s">
        <v>118</v>
      </c>
      <c r="H133" s="1" t="s">
        <v>19</v>
      </c>
    </row>
    <row r="134" spans="1:8" ht="59" x14ac:dyDescent="0.75">
      <c r="A134" s="1" t="s">
        <v>20</v>
      </c>
      <c r="B134" s="1" t="s">
        <v>17</v>
      </c>
      <c r="C134" s="1" t="s">
        <v>43</v>
      </c>
      <c r="D134" s="1" t="s">
        <v>119</v>
      </c>
      <c r="E134" s="1" t="s">
        <v>19</v>
      </c>
      <c r="F134" s="1" t="s">
        <v>19</v>
      </c>
      <c r="G134" s="1" t="s">
        <v>19</v>
      </c>
      <c r="H134" s="1" t="s">
        <v>19</v>
      </c>
    </row>
    <row r="135" spans="1:8" ht="88.5" x14ac:dyDescent="0.75">
      <c r="A135" s="1" t="s">
        <v>24</v>
      </c>
      <c r="B135" s="1" t="s">
        <v>27</v>
      </c>
      <c r="C135" s="1" t="s">
        <v>113</v>
      </c>
      <c r="D135" s="1" t="s">
        <v>19</v>
      </c>
      <c r="E135" s="1" t="s">
        <v>19</v>
      </c>
      <c r="F135" s="1" t="s">
        <v>19</v>
      </c>
      <c r="G135" s="1" t="s">
        <v>19</v>
      </c>
      <c r="H135" s="1" t="s">
        <v>19</v>
      </c>
    </row>
    <row r="136" spans="1:8" ht="59" x14ac:dyDescent="0.75">
      <c r="A136" s="1" t="s">
        <v>16</v>
      </c>
      <c r="B136" s="1" t="s">
        <v>25</v>
      </c>
      <c r="C136" s="1" t="s">
        <v>67</v>
      </c>
      <c r="D136" s="1" t="s">
        <v>19</v>
      </c>
      <c r="E136" s="1" t="s">
        <v>19</v>
      </c>
      <c r="F136" s="1" t="s">
        <v>19</v>
      </c>
      <c r="G136" s="1" t="s">
        <v>19</v>
      </c>
      <c r="H136" s="1" t="s">
        <v>19</v>
      </c>
    </row>
    <row r="137" spans="1:8" ht="44.25" x14ac:dyDescent="0.75">
      <c r="A137" s="1" t="s">
        <v>20</v>
      </c>
      <c r="B137" s="1" t="s">
        <v>36</v>
      </c>
      <c r="C137" s="1" t="s">
        <v>53</v>
      </c>
      <c r="D137" s="1" t="s">
        <v>19</v>
      </c>
      <c r="E137" s="1" t="s">
        <v>19</v>
      </c>
      <c r="F137" s="1" t="s">
        <v>19</v>
      </c>
      <c r="G137" s="1" t="s">
        <v>19</v>
      </c>
      <c r="H137" s="1" t="s">
        <v>120</v>
      </c>
    </row>
    <row r="138" spans="1:8" ht="59" x14ac:dyDescent="0.75">
      <c r="A138" s="1" t="s">
        <v>24</v>
      </c>
      <c r="B138" s="1" t="s">
        <v>17</v>
      </c>
      <c r="C138" s="1" t="s">
        <v>43</v>
      </c>
      <c r="D138" s="1" t="s">
        <v>19</v>
      </c>
      <c r="E138" s="1" t="s">
        <v>19</v>
      </c>
      <c r="F138" s="1" t="s">
        <v>19</v>
      </c>
      <c r="G138" s="1" t="s">
        <v>121</v>
      </c>
      <c r="H138" s="1" t="s">
        <v>19</v>
      </c>
    </row>
    <row r="139" spans="1:8" ht="59" x14ac:dyDescent="0.75">
      <c r="A139" s="1" t="s">
        <v>24</v>
      </c>
      <c r="B139" s="1" t="s">
        <v>17</v>
      </c>
      <c r="C139" s="1" t="s">
        <v>113</v>
      </c>
      <c r="D139" s="1" t="s">
        <v>19</v>
      </c>
      <c r="E139" s="1" t="s">
        <v>19</v>
      </c>
      <c r="F139" s="1" t="s">
        <v>19</v>
      </c>
      <c r="G139" s="1" t="s">
        <v>19</v>
      </c>
      <c r="H139" s="1" t="s">
        <v>19</v>
      </c>
    </row>
    <row r="140" spans="1:8" ht="59" x14ac:dyDescent="0.75">
      <c r="A140" s="1" t="s">
        <v>20</v>
      </c>
      <c r="B140" s="1" t="s">
        <v>25</v>
      </c>
      <c r="C140" s="1" t="s">
        <v>45</v>
      </c>
      <c r="D140" s="1" t="s">
        <v>19</v>
      </c>
      <c r="E140" s="1" t="s">
        <v>19</v>
      </c>
      <c r="F140" s="1" t="s">
        <v>122</v>
      </c>
      <c r="G140" s="1" t="s">
        <v>19</v>
      </c>
      <c r="H140" s="1" t="s">
        <v>19</v>
      </c>
    </row>
    <row r="141" spans="1:8" ht="59" x14ac:dyDescent="0.75">
      <c r="A141" s="1" t="s">
        <v>63</v>
      </c>
      <c r="B141" s="1" t="s">
        <v>21</v>
      </c>
      <c r="C141" s="1" t="s">
        <v>18</v>
      </c>
      <c r="D141" s="1" t="s">
        <v>19</v>
      </c>
      <c r="E141" s="1" t="s">
        <v>19</v>
      </c>
      <c r="F141" s="1" t="s">
        <v>19</v>
      </c>
      <c r="G141" s="1" t="s">
        <v>123</v>
      </c>
      <c r="H141" s="1" t="s">
        <v>19</v>
      </c>
    </row>
    <row r="142" spans="1:8" ht="59" x14ac:dyDescent="0.75">
      <c r="A142" s="1" t="s">
        <v>16</v>
      </c>
      <c r="B142" s="1" t="s">
        <v>17</v>
      </c>
      <c r="C142" s="1" t="s">
        <v>94</v>
      </c>
      <c r="D142" s="1" t="s">
        <v>19</v>
      </c>
      <c r="E142" s="1" t="s">
        <v>19</v>
      </c>
      <c r="F142" s="1" t="s">
        <v>19</v>
      </c>
      <c r="G142" s="1" t="s">
        <v>19</v>
      </c>
      <c r="H142" s="1" t="s">
        <v>19</v>
      </c>
    </row>
    <row r="143" spans="1:8" ht="73.75" x14ac:dyDescent="0.75">
      <c r="A143" s="1" t="s">
        <v>24</v>
      </c>
      <c r="B143" s="1" t="s">
        <v>25</v>
      </c>
      <c r="C143" s="1" t="s">
        <v>48</v>
      </c>
      <c r="D143" s="1" t="s">
        <v>19</v>
      </c>
      <c r="E143" s="1" t="s">
        <v>19</v>
      </c>
      <c r="F143" s="1" t="s">
        <v>19</v>
      </c>
      <c r="G143" s="1" t="s">
        <v>19</v>
      </c>
      <c r="H143" s="1" t="s">
        <v>19</v>
      </c>
    </row>
    <row r="144" spans="1:8" ht="103.25" x14ac:dyDescent="0.75">
      <c r="A144" s="1" t="s">
        <v>63</v>
      </c>
      <c r="B144" s="1" t="s">
        <v>36</v>
      </c>
      <c r="C144" s="1" t="s">
        <v>28</v>
      </c>
      <c r="D144" s="1" t="s">
        <v>124</v>
      </c>
      <c r="E144" s="1" t="s">
        <v>19</v>
      </c>
      <c r="F144" s="1" t="s">
        <v>19</v>
      </c>
      <c r="G144" s="1" t="s">
        <v>19</v>
      </c>
      <c r="H144" s="1" t="s">
        <v>19</v>
      </c>
    </row>
    <row r="145" spans="1:8" ht="59" x14ac:dyDescent="0.75">
      <c r="A145" s="1" t="s">
        <v>63</v>
      </c>
      <c r="B145" s="1" t="s">
        <v>25</v>
      </c>
      <c r="C145" s="1" t="s">
        <v>26</v>
      </c>
      <c r="D145" s="1" t="s">
        <v>19</v>
      </c>
      <c r="E145" s="1" t="s">
        <v>19</v>
      </c>
      <c r="F145" s="1" t="s">
        <v>125</v>
      </c>
      <c r="G145" s="1" t="s">
        <v>19</v>
      </c>
      <c r="H145" s="1" t="s">
        <v>19</v>
      </c>
    </row>
    <row r="146" spans="1:8" ht="59" x14ac:dyDescent="0.75">
      <c r="A146" s="1" t="s">
        <v>20</v>
      </c>
      <c r="B146" s="1" t="s">
        <v>25</v>
      </c>
      <c r="C146" s="1" t="s">
        <v>71</v>
      </c>
      <c r="D146" s="1" t="s">
        <v>19</v>
      </c>
      <c r="E146" s="1" t="s">
        <v>19</v>
      </c>
      <c r="F146" s="1" t="s">
        <v>19</v>
      </c>
      <c r="G146" s="1" t="s">
        <v>19</v>
      </c>
      <c r="H146" s="1" t="s">
        <v>19</v>
      </c>
    </row>
    <row r="147" spans="1:8" ht="73.75" x14ac:dyDescent="0.75">
      <c r="A147" s="1" t="s">
        <v>20</v>
      </c>
      <c r="B147" s="1" t="s">
        <v>17</v>
      </c>
      <c r="C147" s="1" t="s">
        <v>48</v>
      </c>
      <c r="D147" s="1" t="s">
        <v>19</v>
      </c>
      <c r="E147" s="1" t="s">
        <v>19</v>
      </c>
      <c r="F147" s="1" t="s">
        <v>19</v>
      </c>
      <c r="G147" s="1" t="s">
        <v>126</v>
      </c>
      <c r="H147" s="1" t="s">
        <v>19</v>
      </c>
    </row>
    <row r="148" spans="1:8" ht="44.25" x14ac:dyDescent="0.75">
      <c r="A148" s="1" t="s">
        <v>16</v>
      </c>
      <c r="B148" s="1" t="s">
        <v>36</v>
      </c>
      <c r="C148" s="1" t="s">
        <v>26</v>
      </c>
      <c r="D148" s="1" t="s">
        <v>19</v>
      </c>
      <c r="E148" s="1" t="s">
        <v>19</v>
      </c>
      <c r="F148" s="1" t="s">
        <v>19</v>
      </c>
      <c r="G148" s="1" t="s">
        <v>19</v>
      </c>
      <c r="H148" s="1" t="s">
        <v>19</v>
      </c>
    </row>
    <row r="149" spans="1:8" ht="59" x14ac:dyDescent="0.75">
      <c r="A149" s="1" t="s">
        <v>16</v>
      </c>
      <c r="B149" s="1" t="s">
        <v>25</v>
      </c>
      <c r="C149" s="1" t="s">
        <v>67</v>
      </c>
      <c r="D149" s="1" t="s">
        <v>19</v>
      </c>
      <c r="E149" s="1" t="s">
        <v>19</v>
      </c>
      <c r="F149" s="1" t="s">
        <v>127</v>
      </c>
      <c r="G149" s="1" t="s">
        <v>19</v>
      </c>
      <c r="H149" s="1" t="s">
        <v>19</v>
      </c>
    </row>
    <row r="150" spans="1:8" ht="59" x14ac:dyDescent="0.75">
      <c r="A150" s="1" t="s">
        <v>29</v>
      </c>
      <c r="B150" s="1" t="s">
        <v>17</v>
      </c>
      <c r="C150" s="1" t="s">
        <v>43</v>
      </c>
      <c r="D150" s="1" t="s">
        <v>19</v>
      </c>
      <c r="E150" s="1" t="s">
        <v>128</v>
      </c>
      <c r="F150" s="1" t="s">
        <v>19</v>
      </c>
      <c r="G150" s="1" t="s">
        <v>19</v>
      </c>
      <c r="H150" s="1" t="s">
        <v>19</v>
      </c>
    </row>
    <row r="151" spans="1:8" ht="59" x14ac:dyDescent="0.75">
      <c r="A151" s="1" t="s">
        <v>24</v>
      </c>
      <c r="B151" s="1" t="s">
        <v>25</v>
      </c>
      <c r="C151" s="1" t="s">
        <v>43</v>
      </c>
      <c r="D151" s="1" t="s">
        <v>19</v>
      </c>
      <c r="E151" s="1" t="s">
        <v>19</v>
      </c>
      <c r="F151" s="1" t="s">
        <v>19</v>
      </c>
      <c r="G151" s="1" t="s">
        <v>19</v>
      </c>
      <c r="H151" s="1" t="s">
        <v>19</v>
      </c>
    </row>
    <row r="152" spans="1:8" ht="29.5" x14ac:dyDescent="0.75">
      <c r="A152" s="1" t="s">
        <v>20</v>
      </c>
      <c r="B152" s="1" t="s">
        <v>21</v>
      </c>
      <c r="C152" s="1" t="s">
        <v>75</v>
      </c>
      <c r="D152" s="1" t="s">
        <v>19</v>
      </c>
      <c r="E152" s="1" t="s">
        <v>19</v>
      </c>
      <c r="F152" s="1" t="s">
        <v>129</v>
      </c>
      <c r="G152" s="1" t="s">
        <v>19</v>
      </c>
      <c r="H152" s="1" t="s">
        <v>19</v>
      </c>
    </row>
    <row r="153" spans="1:8" ht="59" x14ac:dyDescent="0.75">
      <c r="A153" s="1" t="s">
        <v>20</v>
      </c>
      <c r="B153" s="1" t="s">
        <v>36</v>
      </c>
      <c r="C153" s="1" t="s">
        <v>46</v>
      </c>
      <c r="D153" s="1" t="s">
        <v>19</v>
      </c>
      <c r="E153" s="1" t="s">
        <v>19</v>
      </c>
      <c r="F153" s="1" t="s">
        <v>19</v>
      </c>
      <c r="G153" s="1" t="s">
        <v>19</v>
      </c>
      <c r="H153" s="1" t="s">
        <v>19</v>
      </c>
    </row>
    <row r="154" spans="1:8" ht="29.5" x14ac:dyDescent="0.75">
      <c r="A154" s="1" t="s">
        <v>63</v>
      </c>
      <c r="B154" s="1" t="s">
        <v>21</v>
      </c>
      <c r="C154" s="1" t="s">
        <v>26</v>
      </c>
      <c r="D154" s="1" t="s">
        <v>19</v>
      </c>
      <c r="E154" s="1" t="s">
        <v>19</v>
      </c>
      <c r="F154" s="1" t="s">
        <v>19</v>
      </c>
      <c r="G154" s="1" t="s">
        <v>19</v>
      </c>
      <c r="H154" s="1" t="s">
        <v>19</v>
      </c>
    </row>
    <row r="155" spans="1:8" ht="88.5" x14ac:dyDescent="0.75">
      <c r="A155" s="1" t="s">
        <v>20</v>
      </c>
      <c r="B155" s="1" t="s">
        <v>30</v>
      </c>
      <c r="C155" s="1" t="s">
        <v>130</v>
      </c>
      <c r="D155" s="1" t="s">
        <v>19</v>
      </c>
      <c r="E155" s="1" t="s">
        <v>19</v>
      </c>
      <c r="F155" s="1" t="s">
        <v>19</v>
      </c>
      <c r="G155" s="1" t="s">
        <v>19</v>
      </c>
      <c r="H155" s="1" t="s">
        <v>19</v>
      </c>
    </row>
    <row r="156" spans="1:8" ht="88.5" x14ac:dyDescent="0.75">
      <c r="A156" s="1" t="s">
        <v>16</v>
      </c>
      <c r="B156" s="1" t="s">
        <v>30</v>
      </c>
      <c r="C156" s="1" t="s">
        <v>33</v>
      </c>
      <c r="D156" s="1" t="s">
        <v>19</v>
      </c>
      <c r="E156" s="1" t="s">
        <v>19</v>
      </c>
      <c r="F156" s="1" t="s">
        <v>19</v>
      </c>
      <c r="G156" s="1" t="s">
        <v>19</v>
      </c>
      <c r="H156" s="1" t="s">
        <v>19</v>
      </c>
    </row>
    <row r="157" spans="1:8" ht="59" x14ac:dyDescent="0.75">
      <c r="A157" s="1" t="s">
        <v>16</v>
      </c>
      <c r="B157" s="1" t="s">
        <v>25</v>
      </c>
      <c r="C157" s="1" t="s">
        <v>46</v>
      </c>
      <c r="D157" s="1" t="s">
        <v>19</v>
      </c>
      <c r="E157" s="1" t="s">
        <v>19</v>
      </c>
      <c r="F157" s="1" t="s">
        <v>19</v>
      </c>
      <c r="G157" s="1" t="s">
        <v>19</v>
      </c>
      <c r="H157" s="1" t="s">
        <v>19</v>
      </c>
    </row>
    <row r="158" spans="1:8" ht="88.5" x14ac:dyDescent="0.75">
      <c r="A158" s="1" t="s">
        <v>20</v>
      </c>
      <c r="B158" s="1" t="s">
        <v>27</v>
      </c>
      <c r="C158" s="1" t="s">
        <v>41</v>
      </c>
      <c r="D158" s="1" t="s">
        <v>19</v>
      </c>
      <c r="E158" s="1" t="s">
        <v>19</v>
      </c>
      <c r="F158" s="1" t="s">
        <v>19</v>
      </c>
      <c r="G158" s="1" t="s">
        <v>19</v>
      </c>
      <c r="H158" s="1" t="s">
        <v>19</v>
      </c>
    </row>
    <row r="159" spans="1:8" ht="44.25" x14ac:dyDescent="0.75">
      <c r="A159" s="1" t="s">
        <v>16</v>
      </c>
      <c r="B159" s="1" t="s">
        <v>36</v>
      </c>
      <c r="C159" s="1" t="s">
        <v>45</v>
      </c>
      <c r="D159" s="1" t="s">
        <v>19</v>
      </c>
      <c r="E159" s="1" t="s">
        <v>19</v>
      </c>
      <c r="F159" s="1" t="s">
        <v>19</v>
      </c>
      <c r="G159" s="1" t="s">
        <v>19</v>
      </c>
      <c r="H159" s="1" t="s">
        <v>19</v>
      </c>
    </row>
    <row r="160" spans="1:8" ht="59" x14ac:dyDescent="0.75">
      <c r="A160" s="1" t="s">
        <v>29</v>
      </c>
      <c r="B160" s="1" t="s">
        <v>17</v>
      </c>
      <c r="C160" s="1" t="s">
        <v>37</v>
      </c>
      <c r="D160" s="1" t="s">
        <v>19</v>
      </c>
      <c r="E160" s="1" t="s">
        <v>19</v>
      </c>
      <c r="F160" s="1" t="s">
        <v>19</v>
      </c>
      <c r="G160" s="1" t="s">
        <v>19</v>
      </c>
      <c r="H160" s="1" t="s">
        <v>19</v>
      </c>
    </row>
    <row r="161" spans="1:8" ht="59" x14ac:dyDescent="0.75">
      <c r="A161" s="1" t="s">
        <v>16</v>
      </c>
      <c r="B161" s="1" t="s">
        <v>25</v>
      </c>
      <c r="C161" s="1" t="s">
        <v>26</v>
      </c>
      <c r="D161" s="1" t="s">
        <v>19</v>
      </c>
      <c r="E161" s="1" t="s">
        <v>19</v>
      </c>
      <c r="F161" s="1" t="s">
        <v>19</v>
      </c>
      <c r="G161" s="1" t="s">
        <v>19</v>
      </c>
      <c r="H161" s="1" t="s">
        <v>19</v>
      </c>
    </row>
    <row r="162" spans="1:8" ht="59" x14ac:dyDescent="0.75">
      <c r="A162" s="1" t="s">
        <v>20</v>
      </c>
      <c r="B162" s="1" t="s">
        <v>25</v>
      </c>
      <c r="C162" s="1" t="s">
        <v>18</v>
      </c>
      <c r="D162" s="1" t="s">
        <v>131</v>
      </c>
      <c r="E162" s="1" t="s">
        <v>19</v>
      </c>
      <c r="F162" s="1" t="s">
        <v>19</v>
      </c>
      <c r="G162" s="1" t="s">
        <v>19</v>
      </c>
      <c r="H162" s="1" t="s">
        <v>19</v>
      </c>
    </row>
    <row r="163" spans="1:8" ht="59" x14ac:dyDescent="0.75">
      <c r="A163" s="1" t="s">
        <v>16</v>
      </c>
      <c r="B163" s="1" t="s">
        <v>25</v>
      </c>
      <c r="C163" s="1" t="s">
        <v>31</v>
      </c>
      <c r="D163" s="1" t="s">
        <v>19</v>
      </c>
      <c r="E163" s="1" t="s">
        <v>19</v>
      </c>
      <c r="F163" s="1" t="s">
        <v>19</v>
      </c>
      <c r="G163" s="1" t="s">
        <v>19</v>
      </c>
      <c r="H163" s="1" t="s">
        <v>19</v>
      </c>
    </row>
    <row r="164" spans="1:8" ht="59" x14ac:dyDescent="0.75">
      <c r="A164" s="1" t="s">
        <v>60</v>
      </c>
      <c r="B164" s="1" t="s">
        <v>25</v>
      </c>
      <c r="C164" s="1" t="s">
        <v>43</v>
      </c>
      <c r="D164" s="1" t="s">
        <v>19</v>
      </c>
      <c r="E164" s="1" t="s">
        <v>19</v>
      </c>
      <c r="F164" s="1" t="s">
        <v>19</v>
      </c>
      <c r="G164" s="1" t="s">
        <v>19</v>
      </c>
      <c r="H164" s="1" t="s">
        <v>19</v>
      </c>
    </row>
    <row r="165" spans="1:8" ht="59" x14ac:dyDescent="0.75">
      <c r="A165" s="1" t="s">
        <v>16</v>
      </c>
      <c r="B165" s="1" t="s">
        <v>21</v>
      </c>
      <c r="C165" s="1" t="s">
        <v>39</v>
      </c>
      <c r="D165" s="1" t="s">
        <v>19</v>
      </c>
      <c r="E165" s="1" t="s">
        <v>19</v>
      </c>
      <c r="F165" s="1" t="s">
        <v>19</v>
      </c>
      <c r="G165" s="1" t="s">
        <v>19</v>
      </c>
      <c r="H165" s="1" t="s">
        <v>19</v>
      </c>
    </row>
    <row r="166" spans="1:8" ht="88.5" x14ac:dyDescent="0.75">
      <c r="A166" s="1" t="s">
        <v>24</v>
      </c>
      <c r="B166" s="1" t="s">
        <v>27</v>
      </c>
      <c r="C166" s="1" t="s">
        <v>18</v>
      </c>
      <c r="D166" s="1" t="s">
        <v>19</v>
      </c>
      <c r="E166" s="1" t="s">
        <v>19</v>
      </c>
      <c r="F166" s="1" t="s">
        <v>19</v>
      </c>
      <c r="G166" s="1" t="s">
        <v>19</v>
      </c>
      <c r="H166" s="1" t="s">
        <v>132</v>
      </c>
    </row>
    <row r="167" spans="1:8" ht="59" x14ac:dyDescent="0.75">
      <c r="A167" s="1" t="s">
        <v>16</v>
      </c>
      <c r="B167" s="1" t="s">
        <v>25</v>
      </c>
      <c r="C167" s="1" t="s">
        <v>45</v>
      </c>
      <c r="D167" s="1" t="s">
        <v>19</v>
      </c>
      <c r="E167" s="1" t="s">
        <v>19</v>
      </c>
      <c r="F167" s="1" t="s">
        <v>19</v>
      </c>
      <c r="G167" s="1" t="s">
        <v>19</v>
      </c>
      <c r="H167" s="1" t="s">
        <v>19</v>
      </c>
    </row>
    <row r="168" spans="1:8" ht="59" x14ac:dyDescent="0.75">
      <c r="A168" s="1" t="s">
        <v>29</v>
      </c>
      <c r="B168" s="1" t="s">
        <v>21</v>
      </c>
      <c r="C168" s="1" t="s">
        <v>39</v>
      </c>
      <c r="D168" s="1" t="s">
        <v>19</v>
      </c>
      <c r="E168" s="1" t="s">
        <v>19</v>
      </c>
      <c r="F168" s="1" t="s">
        <v>19</v>
      </c>
      <c r="G168" s="1" t="s">
        <v>19</v>
      </c>
      <c r="H168" s="1" t="s">
        <v>19</v>
      </c>
    </row>
    <row r="169" spans="1:8" ht="88.5" x14ac:dyDescent="0.75">
      <c r="A169" s="1" t="s">
        <v>24</v>
      </c>
      <c r="B169" s="1" t="s">
        <v>27</v>
      </c>
      <c r="C169" s="1" t="s">
        <v>26</v>
      </c>
      <c r="D169" s="1" t="s">
        <v>19</v>
      </c>
      <c r="E169" s="1" t="s">
        <v>19</v>
      </c>
      <c r="F169" s="1" t="s">
        <v>19</v>
      </c>
      <c r="G169" s="1" t="s">
        <v>19</v>
      </c>
      <c r="H169" s="1" t="s">
        <v>19</v>
      </c>
    </row>
    <row r="170" spans="1:8" ht="59" x14ac:dyDescent="0.75">
      <c r="A170" s="1" t="s">
        <v>20</v>
      </c>
      <c r="B170" s="1" t="s">
        <v>25</v>
      </c>
      <c r="C170" s="1" t="s">
        <v>61</v>
      </c>
      <c r="D170" s="1" t="s">
        <v>133</v>
      </c>
      <c r="E170" s="1" t="s">
        <v>19</v>
      </c>
      <c r="F170" s="1" t="s">
        <v>19</v>
      </c>
      <c r="G170" s="1" t="s">
        <v>19</v>
      </c>
      <c r="H170" s="1" t="s">
        <v>19</v>
      </c>
    </row>
    <row r="171" spans="1:8" ht="88.5" x14ac:dyDescent="0.75">
      <c r="A171" s="1" t="s">
        <v>16</v>
      </c>
      <c r="B171" s="1" t="s">
        <v>30</v>
      </c>
      <c r="C171" s="1" t="s">
        <v>43</v>
      </c>
      <c r="D171" s="1" t="s">
        <v>19</v>
      </c>
      <c r="E171" s="1" t="s">
        <v>19</v>
      </c>
      <c r="F171" s="1" t="s">
        <v>19</v>
      </c>
      <c r="G171" s="1" t="s">
        <v>19</v>
      </c>
      <c r="H171" s="1" t="s">
        <v>19</v>
      </c>
    </row>
    <row r="172" spans="1:8" ht="59" x14ac:dyDescent="0.75">
      <c r="A172" s="1" t="s">
        <v>24</v>
      </c>
      <c r="B172" s="1" t="s">
        <v>25</v>
      </c>
      <c r="C172" s="1" t="s">
        <v>26</v>
      </c>
      <c r="D172" s="1" t="s">
        <v>19</v>
      </c>
      <c r="E172" s="1" t="s">
        <v>19</v>
      </c>
      <c r="F172" s="1" t="s">
        <v>19</v>
      </c>
      <c r="G172" s="1" t="s">
        <v>134</v>
      </c>
      <c r="H172" s="1" t="s">
        <v>19</v>
      </c>
    </row>
    <row r="173" spans="1:8" ht="59" x14ac:dyDescent="0.75">
      <c r="A173" s="1" t="s">
        <v>20</v>
      </c>
      <c r="B173" s="1" t="s">
        <v>25</v>
      </c>
      <c r="C173" s="1" t="s">
        <v>43</v>
      </c>
      <c r="D173" s="1" t="s">
        <v>19</v>
      </c>
      <c r="E173" s="1" t="s">
        <v>19</v>
      </c>
      <c r="F173" s="1" t="s">
        <v>19</v>
      </c>
      <c r="G173" s="1" t="s">
        <v>19</v>
      </c>
      <c r="H173" s="1" t="s">
        <v>19</v>
      </c>
    </row>
    <row r="174" spans="1:8" ht="59" x14ac:dyDescent="0.75">
      <c r="A174" s="1" t="s">
        <v>16</v>
      </c>
      <c r="B174" s="1" t="s">
        <v>25</v>
      </c>
      <c r="C174" s="1" t="s">
        <v>45</v>
      </c>
      <c r="D174" s="1" t="s">
        <v>19</v>
      </c>
      <c r="E174" s="1" t="s">
        <v>19</v>
      </c>
      <c r="F174" s="1" t="s">
        <v>135</v>
      </c>
      <c r="G174" s="1" t="s">
        <v>19</v>
      </c>
      <c r="H174" s="1" t="s">
        <v>19</v>
      </c>
    </row>
    <row r="175" spans="1:8" ht="44.25" x14ac:dyDescent="0.75">
      <c r="A175" s="1" t="s">
        <v>24</v>
      </c>
      <c r="B175" s="1" t="s">
        <v>36</v>
      </c>
      <c r="C175" s="1" t="s">
        <v>113</v>
      </c>
      <c r="D175" s="1" t="s">
        <v>19</v>
      </c>
      <c r="E175" s="1" t="s">
        <v>19</v>
      </c>
      <c r="F175" s="1" t="s">
        <v>19</v>
      </c>
      <c r="G175" s="1" t="s">
        <v>19</v>
      </c>
      <c r="H175" s="1" t="s">
        <v>19</v>
      </c>
    </row>
    <row r="176" spans="1:8" ht="59" x14ac:dyDescent="0.75">
      <c r="A176" s="1" t="s">
        <v>29</v>
      </c>
      <c r="B176" s="1" t="s">
        <v>136</v>
      </c>
      <c r="C176" s="1" t="s">
        <v>26</v>
      </c>
      <c r="D176" s="1" t="s">
        <v>19</v>
      </c>
      <c r="E176" s="1" t="s">
        <v>19</v>
      </c>
      <c r="F176" s="1" t="s">
        <v>19</v>
      </c>
      <c r="G176" s="1" t="s">
        <v>19</v>
      </c>
      <c r="H176" s="1" t="s">
        <v>19</v>
      </c>
    </row>
    <row r="177" spans="1:8" ht="59" x14ac:dyDescent="0.75">
      <c r="A177" s="1" t="s">
        <v>20</v>
      </c>
      <c r="B177" s="1" t="s">
        <v>25</v>
      </c>
      <c r="C177" s="1" t="s">
        <v>53</v>
      </c>
      <c r="D177" s="1" t="s">
        <v>19</v>
      </c>
      <c r="E177" s="1" t="s">
        <v>19</v>
      </c>
      <c r="F177" s="1" t="s">
        <v>19</v>
      </c>
      <c r="G177" s="1" t="s">
        <v>19</v>
      </c>
      <c r="H177" s="1" t="s">
        <v>19</v>
      </c>
    </row>
    <row r="178" spans="1:8" ht="59" x14ac:dyDescent="0.75">
      <c r="A178" s="1" t="s">
        <v>24</v>
      </c>
      <c r="B178" s="1" t="s">
        <v>17</v>
      </c>
      <c r="C178" s="1" t="s">
        <v>67</v>
      </c>
      <c r="D178" s="1" t="s">
        <v>19</v>
      </c>
      <c r="E178" s="1" t="s">
        <v>19</v>
      </c>
      <c r="F178" s="1" t="s">
        <v>19</v>
      </c>
      <c r="G178" s="1" t="s">
        <v>19</v>
      </c>
      <c r="H178" s="1" t="s">
        <v>19</v>
      </c>
    </row>
    <row r="179" spans="1:8" ht="59" x14ac:dyDescent="0.75">
      <c r="A179" s="1" t="s">
        <v>24</v>
      </c>
      <c r="B179" s="1" t="s">
        <v>25</v>
      </c>
      <c r="C179" s="1" t="s">
        <v>18</v>
      </c>
      <c r="D179" s="1" t="s">
        <v>19</v>
      </c>
      <c r="E179" s="1" t="s">
        <v>19</v>
      </c>
      <c r="F179" s="1" t="s">
        <v>137</v>
      </c>
      <c r="G179" s="1" t="s">
        <v>19</v>
      </c>
      <c r="H179" s="1" t="s">
        <v>19</v>
      </c>
    </row>
    <row r="180" spans="1:8" ht="59" x14ac:dyDescent="0.75">
      <c r="A180" s="1" t="s">
        <v>29</v>
      </c>
      <c r="B180" s="1" t="s">
        <v>17</v>
      </c>
      <c r="C180" s="1" t="s">
        <v>37</v>
      </c>
      <c r="D180" s="1" t="s">
        <v>19</v>
      </c>
      <c r="E180" s="1" t="s">
        <v>19</v>
      </c>
      <c r="F180" s="1" t="s">
        <v>19</v>
      </c>
      <c r="G180" s="1" t="s">
        <v>19</v>
      </c>
      <c r="H180" s="1" t="s">
        <v>138</v>
      </c>
    </row>
    <row r="181" spans="1:8" ht="59" x14ac:dyDescent="0.75">
      <c r="A181" s="1" t="s">
        <v>16</v>
      </c>
      <c r="B181" s="1" t="s">
        <v>25</v>
      </c>
      <c r="C181" s="1" t="s">
        <v>41</v>
      </c>
      <c r="D181" s="1" t="s">
        <v>19</v>
      </c>
      <c r="E181" s="1" t="s">
        <v>19</v>
      </c>
      <c r="F181" s="1" t="s">
        <v>19</v>
      </c>
      <c r="G181" s="1" t="s">
        <v>19</v>
      </c>
      <c r="H181" s="1" t="s">
        <v>19</v>
      </c>
    </row>
    <row r="182" spans="1:8" ht="59" x14ac:dyDescent="0.75">
      <c r="A182" s="1" t="s">
        <v>24</v>
      </c>
      <c r="B182" s="1" t="s">
        <v>25</v>
      </c>
      <c r="C182" s="1" t="s">
        <v>46</v>
      </c>
      <c r="D182" s="1" t="s">
        <v>19</v>
      </c>
      <c r="E182" s="1" t="s">
        <v>19</v>
      </c>
      <c r="F182" s="1" t="s">
        <v>19</v>
      </c>
      <c r="G182" s="1" t="s">
        <v>19</v>
      </c>
      <c r="H182" s="1" t="s">
        <v>19</v>
      </c>
    </row>
    <row r="183" spans="1:8" ht="59" x14ac:dyDescent="0.75">
      <c r="A183" s="1" t="s">
        <v>24</v>
      </c>
      <c r="B183" s="1" t="s">
        <v>25</v>
      </c>
      <c r="C183" s="1" t="s">
        <v>46</v>
      </c>
      <c r="D183" s="1" t="s">
        <v>19</v>
      </c>
      <c r="E183" s="1" t="s">
        <v>19</v>
      </c>
      <c r="F183" s="1" t="s">
        <v>19</v>
      </c>
      <c r="G183" s="1" t="s">
        <v>19</v>
      </c>
      <c r="H183" s="1" t="s">
        <v>19</v>
      </c>
    </row>
    <row r="184" spans="1:8" ht="103.25" x14ac:dyDescent="0.75">
      <c r="A184" s="1" t="s">
        <v>16</v>
      </c>
      <c r="B184" s="1" t="s">
        <v>21</v>
      </c>
      <c r="C184" s="1" t="s">
        <v>28</v>
      </c>
      <c r="D184" s="1" t="s">
        <v>19</v>
      </c>
      <c r="E184" s="1" t="s">
        <v>19</v>
      </c>
      <c r="F184" s="1" t="s">
        <v>19</v>
      </c>
      <c r="G184" s="1" t="s">
        <v>19</v>
      </c>
      <c r="H184" s="1" t="s">
        <v>139</v>
      </c>
    </row>
    <row r="185" spans="1:8" ht="88.5" x14ac:dyDescent="0.75">
      <c r="A185" s="1" t="s">
        <v>24</v>
      </c>
      <c r="B185" s="1" t="s">
        <v>69</v>
      </c>
      <c r="C185" s="1" t="s">
        <v>53</v>
      </c>
      <c r="D185" s="1" t="s">
        <v>19</v>
      </c>
      <c r="E185" s="1" t="s">
        <v>19</v>
      </c>
      <c r="F185" s="1" t="s">
        <v>19</v>
      </c>
      <c r="G185" s="1" t="s">
        <v>19</v>
      </c>
      <c r="H185" s="1" t="s">
        <v>19</v>
      </c>
    </row>
    <row r="186" spans="1:8" ht="59" x14ac:dyDescent="0.75">
      <c r="A186" s="1" t="s">
        <v>29</v>
      </c>
      <c r="B186" s="1" t="s">
        <v>25</v>
      </c>
      <c r="C186" s="1" t="s">
        <v>37</v>
      </c>
      <c r="D186" s="1" t="s">
        <v>19</v>
      </c>
      <c r="E186" s="1" t="s">
        <v>140</v>
      </c>
      <c r="F186" s="1" t="s">
        <v>19</v>
      </c>
      <c r="G186" s="1" t="s">
        <v>19</v>
      </c>
      <c r="H186" s="1" t="s">
        <v>19</v>
      </c>
    </row>
    <row r="187" spans="1:8" ht="59" x14ac:dyDescent="0.75">
      <c r="A187" s="1" t="s">
        <v>16</v>
      </c>
      <c r="B187" s="1" t="s">
        <v>136</v>
      </c>
      <c r="C187" s="1" t="s">
        <v>45</v>
      </c>
      <c r="D187" s="1" t="s">
        <v>141</v>
      </c>
      <c r="E187" s="1" t="s">
        <v>19</v>
      </c>
      <c r="F187" s="1" t="s">
        <v>19</v>
      </c>
      <c r="G187" s="1" t="s">
        <v>19</v>
      </c>
      <c r="H187" s="1" t="s">
        <v>19</v>
      </c>
    </row>
    <row r="188" spans="1:8" ht="59" x14ac:dyDescent="0.75">
      <c r="A188" s="1" t="s">
        <v>16</v>
      </c>
      <c r="B188" s="1" t="s">
        <v>25</v>
      </c>
      <c r="C188" s="1" t="s">
        <v>33</v>
      </c>
      <c r="D188" s="1" t="s">
        <v>19</v>
      </c>
      <c r="E188" s="1" t="s">
        <v>19</v>
      </c>
      <c r="F188" s="1" t="s">
        <v>142</v>
      </c>
      <c r="G188" s="1" t="s">
        <v>19</v>
      </c>
      <c r="H188" s="1" t="s">
        <v>19</v>
      </c>
    </row>
    <row r="189" spans="1:8" ht="59" x14ac:dyDescent="0.75">
      <c r="A189" s="1" t="s">
        <v>16</v>
      </c>
      <c r="B189" s="1" t="s">
        <v>25</v>
      </c>
      <c r="C189" s="1" t="s">
        <v>33</v>
      </c>
      <c r="D189" s="1" t="s">
        <v>19</v>
      </c>
      <c r="E189" s="1" t="s">
        <v>19</v>
      </c>
      <c r="F189" s="1" t="s">
        <v>19</v>
      </c>
      <c r="G189" s="1" t="s">
        <v>19</v>
      </c>
      <c r="H189" s="1" t="s">
        <v>143</v>
      </c>
    </row>
    <row r="190" spans="1:8" ht="59" x14ac:dyDescent="0.75">
      <c r="A190" s="1" t="s">
        <v>20</v>
      </c>
      <c r="B190" s="1" t="s">
        <v>25</v>
      </c>
      <c r="C190" s="1" t="s">
        <v>26</v>
      </c>
      <c r="D190" s="1" t="s">
        <v>19</v>
      </c>
      <c r="E190" s="1" t="s">
        <v>19</v>
      </c>
      <c r="F190" s="1" t="s">
        <v>19</v>
      </c>
      <c r="G190" s="1" t="s">
        <v>19</v>
      </c>
      <c r="H190" s="1" t="s">
        <v>144</v>
      </c>
    </row>
    <row r="191" spans="1:8" ht="88.5" x14ac:dyDescent="0.75">
      <c r="A191" s="1" t="s">
        <v>29</v>
      </c>
      <c r="B191" s="1" t="s">
        <v>27</v>
      </c>
      <c r="C191" s="1" t="s">
        <v>37</v>
      </c>
      <c r="D191" s="1" t="s">
        <v>19</v>
      </c>
      <c r="E191" s="1" t="s">
        <v>19</v>
      </c>
      <c r="F191" s="1" t="s">
        <v>145</v>
      </c>
      <c r="G191" s="1" t="s">
        <v>19</v>
      </c>
      <c r="H191" s="1" t="s">
        <v>19</v>
      </c>
    </row>
    <row r="192" spans="1:8" ht="59" x14ac:dyDescent="0.75">
      <c r="A192" s="1" t="s">
        <v>29</v>
      </c>
      <c r="B192" s="1" t="s">
        <v>25</v>
      </c>
      <c r="C192" s="1" t="s">
        <v>33</v>
      </c>
      <c r="D192" s="1" t="s">
        <v>19</v>
      </c>
      <c r="E192" s="1" t="s">
        <v>19</v>
      </c>
      <c r="F192" s="1" t="s">
        <v>19</v>
      </c>
      <c r="G192" s="1" t="s">
        <v>19</v>
      </c>
      <c r="H192" s="1" t="s">
        <v>19</v>
      </c>
    </row>
    <row r="193" spans="1:8" ht="59" x14ac:dyDescent="0.75">
      <c r="A193" s="1" t="s">
        <v>29</v>
      </c>
      <c r="B193" s="1" t="s">
        <v>17</v>
      </c>
      <c r="C193" s="1" t="s">
        <v>45</v>
      </c>
      <c r="D193" s="1" t="s">
        <v>19</v>
      </c>
      <c r="E193" s="1" t="s">
        <v>19</v>
      </c>
      <c r="F193" s="1" t="s">
        <v>19</v>
      </c>
      <c r="G193" s="1" t="s">
        <v>19</v>
      </c>
      <c r="H193" s="1" t="s">
        <v>19</v>
      </c>
    </row>
    <row r="194" spans="1:8" ht="59" x14ac:dyDescent="0.75">
      <c r="A194" s="1" t="s">
        <v>60</v>
      </c>
      <c r="B194" s="1" t="s">
        <v>146</v>
      </c>
      <c r="C194" s="1" t="s">
        <v>46</v>
      </c>
      <c r="D194" s="1" t="s">
        <v>19</v>
      </c>
      <c r="E194" s="1" t="s">
        <v>19</v>
      </c>
      <c r="F194" s="1" t="s">
        <v>19</v>
      </c>
      <c r="G194" s="1" t="s">
        <v>19</v>
      </c>
      <c r="H194" s="1" t="s">
        <v>19</v>
      </c>
    </row>
    <row r="195" spans="1:8" ht="88.5" x14ac:dyDescent="0.75">
      <c r="A195" s="1" t="s">
        <v>16</v>
      </c>
      <c r="B195" s="1" t="s">
        <v>30</v>
      </c>
      <c r="C195" s="1" t="s">
        <v>33</v>
      </c>
      <c r="D195" s="1" t="s">
        <v>19</v>
      </c>
      <c r="E195" s="1" t="s">
        <v>19</v>
      </c>
      <c r="F195" s="1" t="s">
        <v>19</v>
      </c>
      <c r="G195" s="1" t="s">
        <v>147</v>
      </c>
      <c r="H195" s="1" t="s">
        <v>19</v>
      </c>
    </row>
    <row r="196" spans="1:8" ht="59" x14ac:dyDescent="0.75">
      <c r="A196" s="1" t="s">
        <v>20</v>
      </c>
      <c r="B196" s="1" t="s">
        <v>25</v>
      </c>
      <c r="C196" s="1" t="s">
        <v>45</v>
      </c>
      <c r="D196" s="1" t="s">
        <v>19</v>
      </c>
      <c r="E196" s="1" t="s">
        <v>19</v>
      </c>
      <c r="F196" s="1" t="s">
        <v>19</v>
      </c>
      <c r="G196" s="1" t="s">
        <v>19</v>
      </c>
      <c r="H196" s="1" t="s">
        <v>19</v>
      </c>
    </row>
    <row r="197" spans="1:8" ht="59" x14ac:dyDescent="0.75">
      <c r="A197" s="1" t="s">
        <v>16</v>
      </c>
      <c r="B197" s="1" t="s">
        <v>25</v>
      </c>
      <c r="C197" s="1" t="s">
        <v>22</v>
      </c>
      <c r="D197" s="1" t="s">
        <v>19</v>
      </c>
      <c r="E197" s="1" t="s">
        <v>19</v>
      </c>
      <c r="F197" s="1" t="s">
        <v>19</v>
      </c>
      <c r="G197" s="1" t="s">
        <v>19</v>
      </c>
      <c r="H197" s="1" t="s">
        <v>19</v>
      </c>
    </row>
    <row r="198" spans="1:8" ht="44.25" x14ac:dyDescent="0.75">
      <c r="A198" s="1" t="s">
        <v>24</v>
      </c>
      <c r="B198" s="1" t="s">
        <v>21</v>
      </c>
      <c r="C198" s="1" t="s">
        <v>53</v>
      </c>
      <c r="D198" s="1" t="s">
        <v>19</v>
      </c>
      <c r="E198" s="1" t="s">
        <v>19</v>
      </c>
      <c r="F198" s="1" t="s">
        <v>19</v>
      </c>
      <c r="G198" s="1" t="s">
        <v>19</v>
      </c>
      <c r="H198" s="1" t="s">
        <v>19</v>
      </c>
    </row>
    <row r="199" spans="1:8" ht="59" x14ac:dyDescent="0.75">
      <c r="A199" s="1" t="s">
        <v>24</v>
      </c>
      <c r="B199" s="1" t="s">
        <v>17</v>
      </c>
      <c r="C199" s="1" t="s">
        <v>22</v>
      </c>
      <c r="D199" s="1" t="s">
        <v>19</v>
      </c>
      <c r="E199" s="1" t="s">
        <v>19</v>
      </c>
      <c r="F199" s="1" t="s">
        <v>19</v>
      </c>
      <c r="G199" s="1" t="s">
        <v>148</v>
      </c>
      <c r="H199" s="1" t="s">
        <v>19</v>
      </c>
    </row>
    <row r="200" spans="1:8" ht="59" x14ac:dyDescent="0.75">
      <c r="A200" s="1" t="s">
        <v>16</v>
      </c>
      <c r="B200" s="1" t="s">
        <v>136</v>
      </c>
      <c r="C200" s="1" t="s">
        <v>46</v>
      </c>
      <c r="D200" s="1" t="s">
        <v>19</v>
      </c>
      <c r="E200" s="1" t="s">
        <v>19</v>
      </c>
      <c r="F200" s="1" t="s">
        <v>19</v>
      </c>
      <c r="G200" s="1" t="s">
        <v>19</v>
      </c>
      <c r="H200" s="1" t="s">
        <v>19</v>
      </c>
    </row>
    <row r="201" spans="1:8" ht="44.25" x14ac:dyDescent="0.75">
      <c r="A201" s="1" t="s">
        <v>60</v>
      </c>
      <c r="B201" s="1" t="s">
        <v>36</v>
      </c>
      <c r="C201" s="1" t="s">
        <v>53</v>
      </c>
      <c r="D201" s="1" t="s">
        <v>19</v>
      </c>
      <c r="E201" s="1" t="s">
        <v>19</v>
      </c>
      <c r="F201" s="1" t="s">
        <v>19</v>
      </c>
      <c r="G201" s="1" t="s">
        <v>19</v>
      </c>
      <c r="H201" s="1" t="s">
        <v>149</v>
      </c>
    </row>
    <row r="202" spans="1:8" ht="103.25" x14ac:dyDescent="0.75">
      <c r="A202" s="1" t="s">
        <v>16</v>
      </c>
      <c r="B202" s="1" t="s">
        <v>27</v>
      </c>
      <c r="C202" s="1" t="s">
        <v>28</v>
      </c>
      <c r="D202" s="1" t="s">
        <v>19</v>
      </c>
      <c r="E202" s="1" t="s">
        <v>19</v>
      </c>
      <c r="F202" s="1" t="s">
        <v>19</v>
      </c>
      <c r="G202" s="1" t="s">
        <v>19</v>
      </c>
      <c r="H202" s="1" t="s">
        <v>19</v>
      </c>
    </row>
    <row r="203" spans="1:8" ht="59" x14ac:dyDescent="0.75">
      <c r="A203" s="1" t="s">
        <v>63</v>
      </c>
      <c r="B203" s="1" t="s">
        <v>25</v>
      </c>
      <c r="C203" s="1" t="s">
        <v>75</v>
      </c>
      <c r="D203" s="1" t="s">
        <v>19</v>
      </c>
      <c r="E203" s="1" t="s">
        <v>19</v>
      </c>
      <c r="F203" s="1" t="s">
        <v>19</v>
      </c>
      <c r="G203" s="1" t="s">
        <v>150</v>
      </c>
      <c r="H203" s="1" t="s">
        <v>19</v>
      </c>
    </row>
    <row r="204" spans="1:8" ht="88.5" x14ac:dyDescent="0.75">
      <c r="A204" s="1" t="s">
        <v>63</v>
      </c>
      <c r="B204" s="1" t="s">
        <v>30</v>
      </c>
      <c r="C204" s="1" t="s">
        <v>75</v>
      </c>
      <c r="D204" s="1" t="s">
        <v>19</v>
      </c>
      <c r="E204" s="1" t="s">
        <v>151</v>
      </c>
      <c r="F204" s="1" t="s">
        <v>19</v>
      </c>
      <c r="G204" s="1" t="s">
        <v>19</v>
      </c>
      <c r="H204" s="1" t="s">
        <v>19</v>
      </c>
    </row>
    <row r="205" spans="1:8" ht="73.75" x14ac:dyDescent="0.75">
      <c r="A205" s="1" t="s">
        <v>24</v>
      </c>
      <c r="B205" s="1" t="s">
        <v>25</v>
      </c>
      <c r="C205" s="1" t="s">
        <v>48</v>
      </c>
      <c r="D205" s="1" t="s">
        <v>19</v>
      </c>
      <c r="E205" s="1" t="s">
        <v>19</v>
      </c>
      <c r="F205" s="1" t="s">
        <v>19</v>
      </c>
      <c r="G205" s="1" t="s">
        <v>19</v>
      </c>
      <c r="H205" s="1" t="s">
        <v>19</v>
      </c>
    </row>
    <row r="206" spans="1:8" ht="59" x14ac:dyDescent="0.75">
      <c r="A206" s="1" t="s">
        <v>20</v>
      </c>
      <c r="B206" s="1" t="s">
        <v>25</v>
      </c>
      <c r="C206" s="1" t="s">
        <v>53</v>
      </c>
      <c r="D206" s="1" t="s">
        <v>19</v>
      </c>
      <c r="E206" s="1" t="s">
        <v>19</v>
      </c>
      <c r="F206" s="1" t="s">
        <v>19</v>
      </c>
      <c r="G206" s="1" t="s">
        <v>19</v>
      </c>
      <c r="H206" s="1" t="s">
        <v>19</v>
      </c>
    </row>
    <row r="207" spans="1:8" ht="59" x14ac:dyDescent="0.75">
      <c r="A207" s="1" t="s">
        <v>24</v>
      </c>
      <c r="B207" s="1" t="s">
        <v>25</v>
      </c>
      <c r="C207" s="1" t="s">
        <v>46</v>
      </c>
      <c r="D207" s="1" t="s">
        <v>19</v>
      </c>
      <c r="E207" s="1" t="s">
        <v>19</v>
      </c>
      <c r="F207" s="1" t="s">
        <v>19</v>
      </c>
      <c r="G207" s="1" t="s">
        <v>19</v>
      </c>
      <c r="H207" s="1" t="s">
        <v>19</v>
      </c>
    </row>
    <row r="208" spans="1:8" ht="88.5" x14ac:dyDescent="0.75">
      <c r="A208" s="1" t="s">
        <v>20</v>
      </c>
      <c r="B208" s="1" t="s">
        <v>27</v>
      </c>
      <c r="C208" s="1" t="s">
        <v>45</v>
      </c>
      <c r="D208" s="1" t="s">
        <v>19</v>
      </c>
      <c r="E208" s="1" t="s">
        <v>19</v>
      </c>
      <c r="F208" s="1" t="s">
        <v>152</v>
      </c>
      <c r="G208" s="1" t="s">
        <v>19</v>
      </c>
      <c r="H208" s="1" t="s">
        <v>19</v>
      </c>
    </row>
    <row r="209" spans="1:8" ht="59" x14ac:dyDescent="0.75">
      <c r="A209" s="1" t="s">
        <v>16</v>
      </c>
      <c r="B209" s="1" t="s">
        <v>17</v>
      </c>
      <c r="C209" s="1" t="s">
        <v>53</v>
      </c>
      <c r="D209" s="1" t="s">
        <v>19</v>
      </c>
      <c r="E209" s="1" t="s">
        <v>19</v>
      </c>
      <c r="F209" s="1" t="s">
        <v>19</v>
      </c>
      <c r="G209" s="1" t="s">
        <v>153</v>
      </c>
      <c r="H209" s="1" t="s">
        <v>19</v>
      </c>
    </row>
    <row r="210" spans="1:8" ht="103.25" x14ac:dyDescent="0.75">
      <c r="A210" s="1" t="s">
        <v>63</v>
      </c>
      <c r="B210" s="1" t="s">
        <v>25</v>
      </c>
      <c r="C210" s="1" t="s">
        <v>28</v>
      </c>
      <c r="D210" s="1" t="s">
        <v>154</v>
      </c>
      <c r="E210" s="1" t="s">
        <v>19</v>
      </c>
      <c r="F210" s="1" t="s">
        <v>19</v>
      </c>
      <c r="G210" s="1" t="s">
        <v>19</v>
      </c>
      <c r="H210" s="1" t="s">
        <v>19</v>
      </c>
    </row>
    <row r="211" spans="1:8" ht="59" x14ac:dyDescent="0.75">
      <c r="A211" s="1" t="s">
        <v>20</v>
      </c>
      <c r="B211" s="1" t="s">
        <v>21</v>
      </c>
      <c r="C211" s="1" t="s">
        <v>67</v>
      </c>
      <c r="D211" s="1" t="s">
        <v>19</v>
      </c>
      <c r="E211" s="1" t="s">
        <v>155</v>
      </c>
      <c r="F211" s="1" t="s">
        <v>19</v>
      </c>
      <c r="G211" s="1" t="s">
        <v>19</v>
      </c>
      <c r="H211" s="1" t="s">
        <v>19</v>
      </c>
    </row>
    <row r="212" spans="1:8" ht="59" x14ac:dyDescent="0.75">
      <c r="A212" s="1" t="s">
        <v>24</v>
      </c>
      <c r="B212" s="1" t="s">
        <v>21</v>
      </c>
      <c r="C212" s="1" t="s">
        <v>31</v>
      </c>
      <c r="D212" s="1" t="s">
        <v>19</v>
      </c>
      <c r="E212" s="1" t="s">
        <v>19</v>
      </c>
      <c r="F212" s="1" t="s">
        <v>19</v>
      </c>
      <c r="G212" s="1" t="s">
        <v>19</v>
      </c>
      <c r="H212" s="1" t="s">
        <v>19</v>
      </c>
    </row>
    <row r="213" spans="1:8" ht="59" x14ac:dyDescent="0.75">
      <c r="A213" s="1" t="s">
        <v>29</v>
      </c>
      <c r="B213" s="1" t="s">
        <v>25</v>
      </c>
      <c r="C213" s="1" t="s">
        <v>61</v>
      </c>
      <c r="D213" s="1" t="s">
        <v>19</v>
      </c>
      <c r="E213" s="1" t="s">
        <v>156</v>
      </c>
      <c r="F213" s="1" t="s">
        <v>19</v>
      </c>
      <c r="G213" s="1" t="s">
        <v>19</v>
      </c>
      <c r="H213" s="1" t="s">
        <v>19</v>
      </c>
    </row>
    <row r="214" spans="1:8" ht="59" x14ac:dyDescent="0.75">
      <c r="A214" s="1" t="s">
        <v>63</v>
      </c>
      <c r="B214" s="1" t="s">
        <v>36</v>
      </c>
      <c r="C214" s="1" t="s">
        <v>31</v>
      </c>
      <c r="D214" s="1" t="s">
        <v>19</v>
      </c>
      <c r="E214" s="1" t="s">
        <v>19</v>
      </c>
      <c r="F214" s="1" t="s">
        <v>19</v>
      </c>
      <c r="G214" s="1" t="s">
        <v>157</v>
      </c>
      <c r="H214" s="1" t="s">
        <v>19</v>
      </c>
    </row>
    <row r="215" spans="1:8" ht="59" x14ac:dyDescent="0.75">
      <c r="A215" s="1" t="s">
        <v>24</v>
      </c>
      <c r="B215" s="1" t="s">
        <v>25</v>
      </c>
      <c r="C215" s="1" t="s">
        <v>22</v>
      </c>
      <c r="D215" s="1" t="s">
        <v>19</v>
      </c>
      <c r="E215" s="1" t="s">
        <v>19</v>
      </c>
      <c r="F215" s="1" t="s">
        <v>158</v>
      </c>
      <c r="G215" s="1" t="s">
        <v>19</v>
      </c>
      <c r="H215" s="1" t="s">
        <v>19</v>
      </c>
    </row>
    <row r="216" spans="1:8" ht="59" x14ac:dyDescent="0.75">
      <c r="A216" s="1" t="s">
        <v>24</v>
      </c>
      <c r="B216" s="1" t="s">
        <v>25</v>
      </c>
      <c r="C216" s="1" t="s">
        <v>61</v>
      </c>
      <c r="D216" s="1" t="s">
        <v>19</v>
      </c>
      <c r="E216" s="1" t="s">
        <v>19</v>
      </c>
      <c r="F216" s="1" t="s">
        <v>19</v>
      </c>
      <c r="G216" s="1" t="s">
        <v>19</v>
      </c>
      <c r="H216" s="1" t="s">
        <v>19</v>
      </c>
    </row>
    <row r="217" spans="1:8" ht="88.5" x14ac:dyDescent="0.75">
      <c r="A217" s="1" t="s">
        <v>24</v>
      </c>
      <c r="B217" s="1" t="s">
        <v>27</v>
      </c>
      <c r="C217" s="1" t="s">
        <v>31</v>
      </c>
      <c r="D217" s="1" t="s">
        <v>159</v>
      </c>
      <c r="E217" s="1" t="s">
        <v>19</v>
      </c>
      <c r="F217" s="1" t="s">
        <v>19</v>
      </c>
      <c r="G217" s="1" t="s">
        <v>19</v>
      </c>
      <c r="H217" s="1" t="s">
        <v>19</v>
      </c>
    </row>
    <row r="218" spans="1:8" ht="103.25" x14ac:dyDescent="0.75">
      <c r="A218" s="1" t="s">
        <v>16</v>
      </c>
      <c r="B218" s="1" t="s">
        <v>25</v>
      </c>
      <c r="C218" s="1" t="s">
        <v>28</v>
      </c>
      <c r="D218" s="1" t="s">
        <v>19</v>
      </c>
      <c r="E218" s="1" t="s">
        <v>19</v>
      </c>
      <c r="F218" s="1" t="s">
        <v>19</v>
      </c>
      <c r="G218" s="1" t="s">
        <v>19</v>
      </c>
      <c r="H218" s="1" t="s">
        <v>19</v>
      </c>
    </row>
    <row r="219" spans="1:8" ht="44.25" x14ac:dyDescent="0.75">
      <c r="A219" s="1" t="s">
        <v>74</v>
      </c>
      <c r="B219" s="1" t="s">
        <v>36</v>
      </c>
      <c r="C219" s="1" t="s">
        <v>37</v>
      </c>
      <c r="D219" s="1" t="s">
        <v>19</v>
      </c>
      <c r="E219" s="1" t="s">
        <v>19</v>
      </c>
      <c r="F219" s="1" t="s">
        <v>19</v>
      </c>
      <c r="G219" s="1" t="s">
        <v>19</v>
      </c>
      <c r="H219" s="1" t="s">
        <v>19</v>
      </c>
    </row>
    <row r="220" spans="1:8" ht="88.5" x14ac:dyDescent="0.75">
      <c r="A220" s="1" t="s">
        <v>29</v>
      </c>
      <c r="B220" s="1" t="s">
        <v>27</v>
      </c>
      <c r="C220" s="1" t="s">
        <v>48</v>
      </c>
      <c r="D220" s="1" t="s">
        <v>19</v>
      </c>
      <c r="E220" s="1" t="s">
        <v>160</v>
      </c>
      <c r="F220" s="1" t="s">
        <v>19</v>
      </c>
      <c r="G220" s="1" t="s">
        <v>19</v>
      </c>
      <c r="H220" s="1" t="s">
        <v>19</v>
      </c>
    </row>
    <row r="221" spans="1:8" ht="59" x14ac:dyDescent="0.75">
      <c r="A221" s="1" t="s">
        <v>24</v>
      </c>
      <c r="B221" s="1" t="s">
        <v>36</v>
      </c>
      <c r="C221" s="1" t="s">
        <v>39</v>
      </c>
      <c r="D221" s="1" t="s">
        <v>19</v>
      </c>
      <c r="E221" s="1" t="s">
        <v>161</v>
      </c>
      <c r="F221" s="1" t="s">
        <v>19</v>
      </c>
      <c r="G221" s="1" t="s">
        <v>19</v>
      </c>
      <c r="H221" s="1" t="s">
        <v>19</v>
      </c>
    </row>
    <row r="222" spans="1:8" ht="59" x14ac:dyDescent="0.75">
      <c r="A222" s="1" t="s">
        <v>16</v>
      </c>
      <c r="B222" s="1" t="s">
        <v>25</v>
      </c>
      <c r="C222" s="1" t="s">
        <v>43</v>
      </c>
      <c r="D222" s="1" t="s">
        <v>19</v>
      </c>
      <c r="E222" s="1" t="s">
        <v>19</v>
      </c>
      <c r="F222" s="1" t="s">
        <v>162</v>
      </c>
      <c r="G222" s="1" t="s">
        <v>19</v>
      </c>
      <c r="H222" s="1" t="s">
        <v>19</v>
      </c>
    </row>
    <row r="223" spans="1:8" ht="44.25" x14ac:dyDescent="0.75">
      <c r="A223" s="1" t="s">
        <v>29</v>
      </c>
      <c r="B223" s="1" t="s">
        <v>21</v>
      </c>
      <c r="C223" s="1" t="s">
        <v>22</v>
      </c>
      <c r="D223" s="1" t="s">
        <v>163</v>
      </c>
      <c r="E223" s="1" t="s">
        <v>19</v>
      </c>
      <c r="F223" s="1" t="s">
        <v>19</v>
      </c>
      <c r="G223" s="1" t="s">
        <v>19</v>
      </c>
      <c r="H223" s="1" t="s">
        <v>19</v>
      </c>
    </row>
    <row r="224" spans="1:8" ht="88.5" x14ac:dyDescent="0.75">
      <c r="A224" s="1" t="s">
        <v>16</v>
      </c>
      <c r="B224" s="1" t="s">
        <v>27</v>
      </c>
      <c r="C224" s="1" t="s">
        <v>39</v>
      </c>
      <c r="D224" s="1" t="s">
        <v>19</v>
      </c>
      <c r="E224" s="1" t="s">
        <v>19</v>
      </c>
      <c r="F224" s="1" t="s">
        <v>19</v>
      </c>
      <c r="G224" s="1" t="s">
        <v>19</v>
      </c>
      <c r="H224" s="1" t="s">
        <v>164</v>
      </c>
    </row>
    <row r="225" spans="1:8" ht="103.25" x14ac:dyDescent="0.75">
      <c r="A225" s="1" t="s">
        <v>24</v>
      </c>
      <c r="B225" s="1" t="s">
        <v>27</v>
      </c>
      <c r="C225" s="1" t="s">
        <v>28</v>
      </c>
      <c r="D225" s="1" t="s">
        <v>19</v>
      </c>
      <c r="E225" s="1" t="s">
        <v>19</v>
      </c>
      <c r="F225" s="1" t="s">
        <v>19</v>
      </c>
      <c r="G225" s="1" t="s">
        <v>19</v>
      </c>
      <c r="H225" s="1" t="s">
        <v>165</v>
      </c>
    </row>
    <row r="226" spans="1:8" ht="88.5" x14ac:dyDescent="0.75">
      <c r="A226" s="1" t="s">
        <v>63</v>
      </c>
      <c r="B226" s="1" t="s">
        <v>30</v>
      </c>
      <c r="C226" s="1" t="s">
        <v>39</v>
      </c>
      <c r="D226" s="1" t="s">
        <v>19</v>
      </c>
      <c r="E226" s="1" t="s">
        <v>19</v>
      </c>
      <c r="F226" s="1" t="s">
        <v>19</v>
      </c>
      <c r="G226" s="1" t="s">
        <v>166</v>
      </c>
      <c r="H226" s="1" t="s">
        <v>19</v>
      </c>
    </row>
    <row r="227" spans="1:8" ht="44.25" x14ac:dyDescent="0.75">
      <c r="A227" s="1" t="s">
        <v>20</v>
      </c>
      <c r="B227" s="1" t="s">
        <v>21</v>
      </c>
      <c r="C227" s="1" t="s">
        <v>113</v>
      </c>
      <c r="D227" s="1" t="s">
        <v>19</v>
      </c>
      <c r="E227" s="1" t="s">
        <v>19</v>
      </c>
      <c r="F227" s="1" t="s">
        <v>19</v>
      </c>
      <c r="G227" s="1" t="s">
        <v>19</v>
      </c>
      <c r="H227" s="1" t="s">
        <v>19</v>
      </c>
    </row>
    <row r="228" spans="1:8" ht="59" x14ac:dyDescent="0.75">
      <c r="A228" s="1" t="s">
        <v>24</v>
      </c>
      <c r="B228" s="1" t="s">
        <v>36</v>
      </c>
      <c r="C228" s="1" t="s">
        <v>39</v>
      </c>
      <c r="D228" s="1" t="s">
        <v>19</v>
      </c>
      <c r="E228" s="1" t="s">
        <v>19</v>
      </c>
      <c r="F228" s="1" t="s">
        <v>19</v>
      </c>
      <c r="G228" s="1" t="s">
        <v>19</v>
      </c>
      <c r="H228" s="1" t="s">
        <v>19</v>
      </c>
    </row>
    <row r="229" spans="1:8" ht="88.5" x14ac:dyDescent="0.75">
      <c r="A229" s="1" t="s">
        <v>20</v>
      </c>
      <c r="B229" s="1" t="s">
        <v>27</v>
      </c>
      <c r="C229" s="1" t="s">
        <v>18</v>
      </c>
      <c r="D229" s="1" t="s">
        <v>19</v>
      </c>
      <c r="E229" s="1" t="s">
        <v>19</v>
      </c>
      <c r="F229" s="1" t="s">
        <v>19</v>
      </c>
      <c r="G229" s="1" t="s">
        <v>19</v>
      </c>
      <c r="H229" s="1" t="s">
        <v>19</v>
      </c>
    </row>
    <row r="230" spans="1:8" ht="59" x14ac:dyDescent="0.75">
      <c r="A230" s="1" t="s">
        <v>24</v>
      </c>
      <c r="B230" s="1" t="s">
        <v>25</v>
      </c>
      <c r="C230" s="1" t="s">
        <v>33</v>
      </c>
      <c r="D230" s="1" t="s">
        <v>19</v>
      </c>
      <c r="E230" s="1" t="s">
        <v>19</v>
      </c>
      <c r="F230" s="1" t="s">
        <v>19</v>
      </c>
      <c r="G230" s="1" t="s">
        <v>19</v>
      </c>
      <c r="H230" s="1" t="s">
        <v>19</v>
      </c>
    </row>
    <row r="231" spans="1:8" ht="88.5" x14ac:dyDescent="0.75">
      <c r="A231" s="1" t="s">
        <v>24</v>
      </c>
      <c r="B231" s="1" t="s">
        <v>27</v>
      </c>
      <c r="C231" s="1" t="s">
        <v>113</v>
      </c>
      <c r="D231" s="1" t="s">
        <v>19</v>
      </c>
      <c r="E231" s="1" t="s">
        <v>19</v>
      </c>
      <c r="F231" s="1" t="s">
        <v>19</v>
      </c>
      <c r="G231" s="1" t="s">
        <v>19</v>
      </c>
      <c r="H231" s="1" t="s">
        <v>19</v>
      </c>
    </row>
    <row r="232" spans="1:8" ht="59" x14ac:dyDescent="0.75">
      <c r="A232" s="1" t="s">
        <v>24</v>
      </c>
      <c r="B232" s="1" t="s">
        <v>25</v>
      </c>
      <c r="C232" s="1" t="s">
        <v>31</v>
      </c>
      <c r="D232" s="1" t="s">
        <v>19</v>
      </c>
      <c r="E232" s="1" t="s">
        <v>19</v>
      </c>
      <c r="F232" s="1" t="s">
        <v>19</v>
      </c>
      <c r="G232" s="1" t="s">
        <v>19</v>
      </c>
      <c r="H232" s="1" t="s">
        <v>167</v>
      </c>
    </row>
    <row r="233" spans="1:8" ht="59" x14ac:dyDescent="0.75">
      <c r="A233" s="1" t="s">
        <v>29</v>
      </c>
      <c r="B233" s="1" t="s">
        <v>21</v>
      </c>
      <c r="C233" s="1" t="s">
        <v>43</v>
      </c>
      <c r="D233" s="1" t="s">
        <v>19</v>
      </c>
      <c r="E233" s="1" t="s">
        <v>19</v>
      </c>
      <c r="F233" s="1" t="s">
        <v>19</v>
      </c>
      <c r="G233" s="1" t="s">
        <v>19</v>
      </c>
      <c r="H233" s="1" t="s">
        <v>168</v>
      </c>
    </row>
    <row r="234" spans="1:8" ht="59" x14ac:dyDescent="0.75">
      <c r="A234" s="1" t="s">
        <v>24</v>
      </c>
      <c r="B234" s="1" t="s">
        <v>25</v>
      </c>
      <c r="C234" s="1" t="s">
        <v>45</v>
      </c>
      <c r="D234" s="1" t="s">
        <v>19</v>
      </c>
      <c r="E234" s="1" t="s">
        <v>19</v>
      </c>
      <c r="F234" s="1" t="s">
        <v>19</v>
      </c>
      <c r="G234" s="1" t="s">
        <v>169</v>
      </c>
      <c r="H234" s="1" t="s">
        <v>19</v>
      </c>
    </row>
    <row r="235" spans="1:8" ht="59" x14ac:dyDescent="0.75">
      <c r="A235" s="1" t="s">
        <v>20</v>
      </c>
      <c r="B235" s="1" t="s">
        <v>25</v>
      </c>
      <c r="C235" s="1" t="s">
        <v>45</v>
      </c>
      <c r="D235" s="1" t="s">
        <v>170</v>
      </c>
      <c r="E235" s="1" t="s">
        <v>19</v>
      </c>
      <c r="F235" s="1" t="s">
        <v>19</v>
      </c>
      <c r="G235" s="1" t="s">
        <v>19</v>
      </c>
      <c r="H235" s="1" t="s">
        <v>19</v>
      </c>
    </row>
    <row r="236" spans="1:8" ht="59" x14ac:dyDescent="0.75">
      <c r="A236" s="1" t="s">
        <v>63</v>
      </c>
      <c r="B236" s="1" t="s">
        <v>36</v>
      </c>
      <c r="C236" s="1" t="s">
        <v>75</v>
      </c>
      <c r="D236" s="1" t="s">
        <v>19</v>
      </c>
      <c r="E236" s="1" t="s">
        <v>19</v>
      </c>
      <c r="F236" s="1" t="s">
        <v>171</v>
      </c>
      <c r="G236" s="1" t="s">
        <v>19</v>
      </c>
      <c r="H236" s="1" t="s">
        <v>19</v>
      </c>
    </row>
    <row r="237" spans="1:8" ht="59" x14ac:dyDescent="0.75">
      <c r="A237" s="1" t="s">
        <v>20</v>
      </c>
      <c r="B237" s="1" t="s">
        <v>25</v>
      </c>
      <c r="C237" s="1" t="s">
        <v>45</v>
      </c>
      <c r="D237" s="1" t="s">
        <v>19</v>
      </c>
      <c r="E237" s="1" t="s">
        <v>19</v>
      </c>
      <c r="F237" s="1" t="s">
        <v>19</v>
      </c>
      <c r="G237" s="1" t="s">
        <v>19</v>
      </c>
      <c r="H237" s="1" t="s">
        <v>19</v>
      </c>
    </row>
    <row r="238" spans="1:8" ht="88.5" x14ac:dyDescent="0.75">
      <c r="A238" s="1" t="s">
        <v>60</v>
      </c>
      <c r="B238" s="1" t="s">
        <v>27</v>
      </c>
      <c r="C238" s="1" t="s">
        <v>37</v>
      </c>
      <c r="D238" s="1" t="s">
        <v>172</v>
      </c>
      <c r="E238" s="1" t="s">
        <v>19</v>
      </c>
      <c r="F238" s="1" t="s">
        <v>19</v>
      </c>
      <c r="G238" s="1" t="s">
        <v>19</v>
      </c>
      <c r="H238" s="1" t="s">
        <v>19</v>
      </c>
    </row>
    <row r="239" spans="1:8" ht="59" x14ac:dyDescent="0.75">
      <c r="A239" s="1" t="s">
        <v>29</v>
      </c>
      <c r="B239" s="1" t="s">
        <v>25</v>
      </c>
      <c r="C239" s="1" t="s">
        <v>37</v>
      </c>
      <c r="D239" s="1" t="s">
        <v>19</v>
      </c>
      <c r="E239" s="1" t="s">
        <v>19</v>
      </c>
      <c r="F239" s="1" t="s">
        <v>19</v>
      </c>
      <c r="G239" s="1" t="s">
        <v>19</v>
      </c>
      <c r="H239" s="1" t="s">
        <v>19</v>
      </c>
    </row>
    <row r="240" spans="1:8" ht="59" x14ac:dyDescent="0.75">
      <c r="A240" s="1" t="s">
        <v>20</v>
      </c>
      <c r="B240" s="1" t="s">
        <v>36</v>
      </c>
      <c r="C240" s="1" t="s">
        <v>67</v>
      </c>
      <c r="D240" s="1" t="s">
        <v>19</v>
      </c>
      <c r="E240" s="1" t="s">
        <v>19</v>
      </c>
      <c r="F240" s="1" t="s">
        <v>19</v>
      </c>
      <c r="G240" s="1" t="s">
        <v>19</v>
      </c>
      <c r="H240" s="1" t="s">
        <v>19</v>
      </c>
    </row>
    <row r="241" spans="1:8" ht="88.5" x14ac:dyDescent="0.75">
      <c r="A241" s="1" t="s">
        <v>24</v>
      </c>
      <c r="B241" s="1" t="s">
        <v>27</v>
      </c>
      <c r="C241" s="1" t="s">
        <v>39</v>
      </c>
      <c r="D241" s="1" t="s">
        <v>19</v>
      </c>
      <c r="E241" s="1" t="s">
        <v>19</v>
      </c>
      <c r="F241" s="1" t="s">
        <v>19</v>
      </c>
      <c r="G241" s="1" t="s">
        <v>19</v>
      </c>
      <c r="H241" s="1" t="s">
        <v>173</v>
      </c>
    </row>
    <row r="242" spans="1:8" ht="88.5" x14ac:dyDescent="0.75">
      <c r="A242" s="1" t="s">
        <v>16</v>
      </c>
      <c r="B242" s="1" t="s">
        <v>30</v>
      </c>
      <c r="C242" s="1" t="s">
        <v>31</v>
      </c>
      <c r="D242" s="1" t="s">
        <v>19</v>
      </c>
      <c r="E242" s="1" t="s">
        <v>19</v>
      </c>
      <c r="F242" s="1" t="s">
        <v>19</v>
      </c>
      <c r="G242" s="1" t="s">
        <v>19</v>
      </c>
      <c r="H242" s="1" t="s">
        <v>19</v>
      </c>
    </row>
    <row r="243" spans="1:8" ht="59" x14ac:dyDescent="0.75">
      <c r="A243" s="1" t="s">
        <v>20</v>
      </c>
      <c r="B243" s="1" t="s">
        <v>25</v>
      </c>
      <c r="C243" s="1" t="s">
        <v>26</v>
      </c>
      <c r="D243" s="1" t="s">
        <v>19</v>
      </c>
      <c r="E243" s="1" t="s">
        <v>19</v>
      </c>
      <c r="F243" s="1" t="s">
        <v>19</v>
      </c>
      <c r="G243" s="1" t="s">
        <v>19</v>
      </c>
      <c r="H243" s="1" t="s">
        <v>19</v>
      </c>
    </row>
    <row r="244" spans="1:8" ht="59" x14ac:dyDescent="0.75">
      <c r="A244" s="1" t="s">
        <v>24</v>
      </c>
      <c r="B244" s="1" t="s">
        <v>25</v>
      </c>
      <c r="C244" s="1" t="s">
        <v>31</v>
      </c>
      <c r="D244" s="1" t="s">
        <v>19</v>
      </c>
      <c r="E244" s="1" t="s">
        <v>19</v>
      </c>
      <c r="F244" s="1" t="s">
        <v>19</v>
      </c>
      <c r="G244" s="1" t="s">
        <v>19</v>
      </c>
      <c r="H244" s="1" t="s">
        <v>19</v>
      </c>
    </row>
    <row r="245" spans="1:8" ht="29.5" x14ac:dyDescent="0.75">
      <c r="A245" s="1" t="s">
        <v>20</v>
      </c>
      <c r="B245" s="1" t="s">
        <v>21</v>
      </c>
      <c r="C245" s="1" t="s">
        <v>18</v>
      </c>
      <c r="D245" s="1" t="s">
        <v>19</v>
      </c>
      <c r="E245" s="1" t="s">
        <v>19</v>
      </c>
      <c r="F245" s="1" t="s">
        <v>19</v>
      </c>
      <c r="G245" s="1" t="s">
        <v>19</v>
      </c>
      <c r="H245" s="1" t="s">
        <v>19</v>
      </c>
    </row>
    <row r="246" spans="1:8" ht="88.5" x14ac:dyDescent="0.75">
      <c r="A246" s="1" t="s">
        <v>16</v>
      </c>
      <c r="B246" s="1" t="s">
        <v>21</v>
      </c>
      <c r="C246" s="1" t="s">
        <v>26</v>
      </c>
      <c r="D246" s="1" t="s">
        <v>19</v>
      </c>
      <c r="E246" s="1" t="s">
        <v>174</v>
      </c>
      <c r="F246" s="1" t="s">
        <v>19</v>
      </c>
      <c r="G246" s="1" t="s">
        <v>19</v>
      </c>
      <c r="H246" s="1" t="s">
        <v>19</v>
      </c>
    </row>
    <row r="247" spans="1:8" ht="88.5" x14ac:dyDescent="0.75">
      <c r="A247" s="1" t="s">
        <v>20</v>
      </c>
      <c r="B247" s="1" t="s">
        <v>27</v>
      </c>
      <c r="C247" s="1" t="s">
        <v>18</v>
      </c>
      <c r="D247" s="1" t="s">
        <v>19</v>
      </c>
      <c r="E247" s="1" t="s">
        <v>19</v>
      </c>
      <c r="F247" s="1" t="s">
        <v>19</v>
      </c>
      <c r="G247" s="1" t="s">
        <v>19</v>
      </c>
      <c r="H247" s="1" t="s">
        <v>19</v>
      </c>
    </row>
    <row r="248" spans="1:8" ht="59" x14ac:dyDescent="0.75">
      <c r="A248" s="1" t="s">
        <v>24</v>
      </c>
      <c r="B248" s="1" t="s">
        <v>25</v>
      </c>
      <c r="C248" s="1" t="s">
        <v>61</v>
      </c>
      <c r="D248" s="1" t="s">
        <v>19</v>
      </c>
      <c r="E248" s="1" t="s">
        <v>19</v>
      </c>
      <c r="F248" s="1" t="s">
        <v>19</v>
      </c>
      <c r="G248" s="1" t="s">
        <v>19</v>
      </c>
      <c r="H248" s="1" t="s">
        <v>19</v>
      </c>
    </row>
    <row r="249" spans="1:8" ht="88.5" x14ac:dyDescent="0.75">
      <c r="A249" s="1" t="s">
        <v>16</v>
      </c>
      <c r="B249" s="1" t="s">
        <v>30</v>
      </c>
      <c r="C249" s="1" t="s">
        <v>45</v>
      </c>
      <c r="D249" s="1" t="s">
        <v>19</v>
      </c>
      <c r="E249" s="1" t="s">
        <v>19</v>
      </c>
      <c r="F249" s="1" t="s">
        <v>19</v>
      </c>
      <c r="G249" s="1" t="s">
        <v>19</v>
      </c>
      <c r="H249" s="1" t="s">
        <v>19</v>
      </c>
    </row>
    <row r="250" spans="1:8" ht="103.25" x14ac:dyDescent="0.75">
      <c r="A250" s="1" t="s">
        <v>24</v>
      </c>
      <c r="B250" s="1" t="s">
        <v>17</v>
      </c>
      <c r="C250" s="1" t="s">
        <v>28</v>
      </c>
      <c r="D250" s="1" t="s">
        <v>19</v>
      </c>
      <c r="E250" s="1" t="s">
        <v>175</v>
      </c>
      <c r="F250" s="1" t="s">
        <v>19</v>
      </c>
      <c r="G250" s="1" t="s">
        <v>19</v>
      </c>
      <c r="H250" s="1" t="s">
        <v>19</v>
      </c>
    </row>
    <row r="251" spans="1:8" ht="59" x14ac:dyDescent="0.75">
      <c r="A251" s="1" t="s">
        <v>20</v>
      </c>
      <c r="B251" s="1" t="s">
        <v>25</v>
      </c>
      <c r="C251" s="1" t="s">
        <v>43</v>
      </c>
      <c r="D251" s="1" t="s">
        <v>19</v>
      </c>
      <c r="E251" s="1" t="s">
        <v>19</v>
      </c>
      <c r="F251" s="1" t="s">
        <v>19</v>
      </c>
      <c r="G251" s="1" t="s">
        <v>19</v>
      </c>
      <c r="H251" s="1" t="s">
        <v>19</v>
      </c>
    </row>
    <row r="252" spans="1:8" ht="88.5" x14ac:dyDescent="0.75">
      <c r="A252" s="1" t="s">
        <v>16</v>
      </c>
      <c r="B252" s="1" t="s">
        <v>27</v>
      </c>
      <c r="C252" s="1" t="s">
        <v>46</v>
      </c>
      <c r="D252" s="1" t="s">
        <v>19</v>
      </c>
      <c r="E252" s="1" t="s">
        <v>19</v>
      </c>
      <c r="F252" s="1" t="s">
        <v>19</v>
      </c>
      <c r="G252" s="1" t="s">
        <v>19</v>
      </c>
      <c r="H252" s="1" t="s">
        <v>176</v>
      </c>
    </row>
    <row r="253" spans="1:8" ht="59" x14ac:dyDescent="0.75">
      <c r="A253" s="1" t="s">
        <v>63</v>
      </c>
      <c r="B253" s="1" t="s">
        <v>25</v>
      </c>
      <c r="C253" s="1" t="s">
        <v>67</v>
      </c>
      <c r="D253" s="1" t="s">
        <v>19</v>
      </c>
      <c r="E253" s="1" t="s">
        <v>19</v>
      </c>
      <c r="F253" s="1" t="s">
        <v>19</v>
      </c>
      <c r="G253" s="1" t="s">
        <v>19</v>
      </c>
      <c r="H253" s="1" t="s">
        <v>19</v>
      </c>
    </row>
    <row r="254" spans="1:8" ht="88.5" x14ac:dyDescent="0.75">
      <c r="A254" s="1" t="s">
        <v>74</v>
      </c>
      <c r="B254" s="1" t="s">
        <v>27</v>
      </c>
      <c r="C254" s="1" t="s">
        <v>37</v>
      </c>
      <c r="D254" s="1" t="s">
        <v>19</v>
      </c>
      <c r="E254" s="1" t="s">
        <v>19</v>
      </c>
      <c r="F254" s="1" t="s">
        <v>177</v>
      </c>
      <c r="G254" s="1" t="s">
        <v>19</v>
      </c>
      <c r="H254" s="1" t="s">
        <v>19</v>
      </c>
    </row>
    <row r="255" spans="1:8" ht="29.5" x14ac:dyDescent="0.75">
      <c r="A255" s="1" t="s">
        <v>60</v>
      </c>
      <c r="B255" s="1" t="s">
        <v>21</v>
      </c>
      <c r="C255" s="1" t="s">
        <v>37</v>
      </c>
      <c r="D255" s="1" t="s">
        <v>19</v>
      </c>
      <c r="E255" s="1" t="s">
        <v>19</v>
      </c>
      <c r="F255" s="1" t="s">
        <v>19</v>
      </c>
      <c r="G255" s="1" t="s">
        <v>178</v>
      </c>
      <c r="H255" s="1" t="s">
        <v>19</v>
      </c>
    </row>
    <row r="256" spans="1:8" ht="59" x14ac:dyDescent="0.75">
      <c r="A256" s="1" t="s">
        <v>29</v>
      </c>
      <c r="B256" s="1" t="s">
        <v>21</v>
      </c>
      <c r="C256" s="1" t="s">
        <v>39</v>
      </c>
      <c r="D256" s="1" t="s">
        <v>19</v>
      </c>
      <c r="E256" s="1" t="s">
        <v>19</v>
      </c>
      <c r="F256" s="1" t="s">
        <v>179</v>
      </c>
      <c r="G256" s="1" t="s">
        <v>19</v>
      </c>
      <c r="H256" s="1" t="s">
        <v>19</v>
      </c>
    </row>
    <row r="257" spans="1:8" ht="103.25" x14ac:dyDescent="0.75">
      <c r="A257" s="1" t="s">
        <v>16</v>
      </c>
      <c r="B257" s="1" t="s">
        <v>25</v>
      </c>
      <c r="C257" s="1" t="s">
        <v>28</v>
      </c>
      <c r="D257" s="1" t="s">
        <v>19</v>
      </c>
      <c r="E257" s="1" t="s">
        <v>19</v>
      </c>
      <c r="F257" s="1" t="s">
        <v>19</v>
      </c>
      <c r="G257" s="1" t="s">
        <v>180</v>
      </c>
      <c r="H257" s="1" t="s">
        <v>19</v>
      </c>
    </row>
    <row r="258" spans="1:8" ht="59" x14ac:dyDescent="0.75">
      <c r="A258" s="1" t="s">
        <v>16</v>
      </c>
      <c r="B258" s="1" t="s">
        <v>25</v>
      </c>
      <c r="C258" s="1" t="s">
        <v>37</v>
      </c>
      <c r="D258" s="1" t="s">
        <v>19</v>
      </c>
      <c r="E258" s="1" t="s">
        <v>19</v>
      </c>
      <c r="F258" s="1" t="s">
        <v>19</v>
      </c>
      <c r="G258" s="1" t="s">
        <v>19</v>
      </c>
      <c r="H258" s="1" t="s">
        <v>19</v>
      </c>
    </row>
    <row r="259" spans="1:8" ht="88.5" x14ac:dyDescent="0.75">
      <c r="A259" s="1" t="s">
        <v>20</v>
      </c>
      <c r="B259" s="1" t="s">
        <v>27</v>
      </c>
      <c r="C259" s="1" t="s">
        <v>39</v>
      </c>
      <c r="G259" s="1" t="s">
        <v>194</v>
      </c>
    </row>
    <row r="260" spans="1:8" ht="103.25" x14ac:dyDescent="0.75">
      <c r="A260" s="1" t="s">
        <v>20</v>
      </c>
      <c r="B260" s="1" t="s">
        <v>25</v>
      </c>
      <c r="C260" s="1" t="s">
        <v>28</v>
      </c>
      <c r="F260" s="1" t="s">
        <v>195</v>
      </c>
    </row>
    <row r="261" spans="1:8" ht="73.75" x14ac:dyDescent="0.75">
      <c r="A261" s="1" t="s">
        <v>20</v>
      </c>
      <c r="B261" s="1" t="s">
        <v>25</v>
      </c>
      <c r="C261" s="1" t="s">
        <v>48</v>
      </c>
      <c r="F261" s="1" t="s">
        <v>196</v>
      </c>
    </row>
    <row r="262" spans="1:8" ht="88.5" x14ac:dyDescent="0.75">
      <c r="A262" s="1" t="s">
        <v>20</v>
      </c>
      <c r="B262" s="1" t="s">
        <v>27</v>
      </c>
      <c r="C262" s="1" t="s">
        <v>39</v>
      </c>
      <c r="F262" s="1" t="s">
        <v>197</v>
      </c>
    </row>
    <row r="263" spans="1:8" ht="44.25" x14ac:dyDescent="0.75">
      <c r="A263" s="1" t="s">
        <v>63</v>
      </c>
      <c r="B263" s="1" t="s">
        <v>146</v>
      </c>
      <c r="C263" s="1" t="s">
        <v>41</v>
      </c>
      <c r="F263" s="1" t="s">
        <v>198</v>
      </c>
    </row>
    <row r="264" spans="1:8" ht="59" x14ac:dyDescent="0.75">
      <c r="A264" s="1" t="s">
        <v>29</v>
      </c>
      <c r="B264" s="1" t="s">
        <v>146</v>
      </c>
      <c r="C264" s="1" t="s">
        <v>33</v>
      </c>
      <c r="E264" s="1" t="s">
        <v>199</v>
      </c>
    </row>
    <row r="265" spans="1:8" ht="44.25" x14ac:dyDescent="0.75">
      <c r="A265" s="1" t="s">
        <v>20</v>
      </c>
      <c r="B265" s="1" t="s">
        <v>146</v>
      </c>
      <c r="C265" s="1" t="s">
        <v>45</v>
      </c>
      <c r="E265" s="1" t="s">
        <v>200</v>
      </c>
    </row>
    <row r="266" spans="1:8" ht="59" x14ac:dyDescent="0.75">
      <c r="A266" s="1" t="s">
        <v>60</v>
      </c>
      <c r="B266" s="1" t="s">
        <v>25</v>
      </c>
      <c r="C266" s="1" t="s">
        <v>37</v>
      </c>
      <c r="D266" s="1" t="s">
        <v>201</v>
      </c>
    </row>
    <row r="267" spans="1:8" ht="59" x14ac:dyDescent="0.75">
      <c r="A267" s="1" t="s">
        <v>60</v>
      </c>
      <c r="B267" s="1" t="s">
        <v>25</v>
      </c>
      <c r="C267" s="1" t="s">
        <v>37</v>
      </c>
      <c r="D267" s="1" t="s">
        <v>202</v>
      </c>
    </row>
  </sheetData>
  <autoFilter ref="A2:H267" xr:uid="{00000000-0009-0000-0000-000000000000}"/>
  <pageMargins left="0.7" right="0.7" top="0.75" bottom="0.75" header="0.3" footer="0.3"/>
  <ignoredErrors>
    <ignoredError sqref="A1:A258 B1:B258 C1:C258 D1 E1:E258 F1 G1:G258 H1:H258 D3:D258 F3:F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851B-A911-4E83-9594-FFE6F89A5F67}">
  <dimension ref="A1:P44"/>
  <sheetViews>
    <sheetView topLeftCell="B1" workbookViewId="0">
      <selection activeCell="I39" sqref="I39:L47"/>
    </sheetView>
  </sheetViews>
  <sheetFormatPr defaultRowHeight="14.75" x14ac:dyDescent="0.75"/>
  <cols>
    <col min="2" max="2" width="55.2265625" customWidth="1"/>
    <col min="7" max="7" width="24.58984375" customWidth="1"/>
  </cols>
  <sheetData>
    <row r="1" spans="1:16" ht="29.75" customHeight="1" x14ac:dyDescent="0.75">
      <c r="A1" s="16"/>
      <c r="B1" s="16" t="s">
        <v>3</v>
      </c>
      <c r="C1" s="16"/>
      <c r="D1" s="16"/>
      <c r="E1" s="16"/>
      <c r="F1" s="16"/>
      <c r="G1" s="16" t="s">
        <v>205</v>
      </c>
      <c r="H1" s="16" t="s">
        <v>206</v>
      </c>
    </row>
    <row r="2" spans="1:16" x14ac:dyDescent="0.75">
      <c r="A2" s="16" t="s">
        <v>255</v>
      </c>
      <c r="B2" s="16" t="s">
        <v>182</v>
      </c>
      <c r="C2" s="16" t="s">
        <v>254</v>
      </c>
      <c r="D2" s="16" t="s">
        <v>228</v>
      </c>
      <c r="E2" s="16" t="s">
        <v>229</v>
      </c>
      <c r="F2" s="16" t="s">
        <v>230</v>
      </c>
      <c r="G2" s="17"/>
      <c r="H2" s="16"/>
    </row>
    <row r="3" spans="1:16" x14ac:dyDescent="0.75">
      <c r="B3" s="1" t="s">
        <v>23</v>
      </c>
      <c r="C3" s="4" t="b">
        <v>0</v>
      </c>
      <c r="D3" s="4" t="b">
        <v>0</v>
      </c>
      <c r="E3" s="4" t="b">
        <v>1</v>
      </c>
      <c r="F3" s="4" t="b">
        <v>0</v>
      </c>
      <c r="G3" s="11" t="s">
        <v>231</v>
      </c>
      <c r="H3">
        <v>3</v>
      </c>
    </row>
    <row r="4" spans="1:16" ht="14.75" customHeight="1" x14ac:dyDescent="0.75">
      <c r="B4" s="1" t="s">
        <v>40</v>
      </c>
      <c r="C4" s="4" t="b">
        <v>0</v>
      </c>
      <c r="D4" s="4" t="b">
        <v>0</v>
      </c>
      <c r="E4" s="4" t="b">
        <v>1</v>
      </c>
      <c r="F4" s="4" t="b">
        <v>0</v>
      </c>
      <c r="G4" s="11" t="s">
        <v>210</v>
      </c>
      <c r="H4">
        <v>3</v>
      </c>
      <c r="I4" s="19" t="s">
        <v>181</v>
      </c>
      <c r="J4" s="19"/>
      <c r="K4" s="19"/>
      <c r="L4" s="19"/>
      <c r="M4" s="19"/>
      <c r="N4" s="19"/>
      <c r="O4" s="19"/>
      <c r="P4" s="19"/>
    </row>
    <row r="5" spans="1:16" x14ac:dyDescent="0.75">
      <c r="B5" s="1" t="s">
        <v>47</v>
      </c>
      <c r="C5" s="4" t="b">
        <v>0</v>
      </c>
      <c r="D5" s="4" t="b">
        <v>1</v>
      </c>
      <c r="E5" s="4" t="b">
        <v>0</v>
      </c>
      <c r="F5" s="4" t="b">
        <v>0</v>
      </c>
      <c r="G5" s="11" t="s">
        <v>232</v>
      </c>
      <c r="H5">
        <v>2</v>
      </c>
      <c r="I5" s="19"/>
      <c r="J5" s="19"/>
      <c r="K5" s="19"/>
      <c r="L5" s="19"/>
      <c r="M5" s="19"/>
      <c r="N5" s="19"/>
      <c r="O5" s="19"/>
      <c r="P5" s="19"/>
    </row>
    <row r="6" spans="1:16" ht="29.5" x14ac:dyDescent="0.75">
      <c r="B6" s="1" t="s">
        <v>50</v>
      </c>
      <c r="C6" s="4" t="b">
        <v>1</v>
      </c>
      <c r="D6" s="4" t="b">
        <v>0</v>
      </c>
      <c r="E6" s="4" t="b">
        <v>0</v>
      </c>
      <c r="F6" s="4" t="b">
        <v>0</v>
      </c>
      <c r="G6" s="11" t="s">
        <v>209</v>
      </c>
      <c r="H6">
        <v>3</v>
      </c>
      <c r="I6" s="19"/>
      <c r="J6" s="19"/>
      <c r="K6" s="19"/>
      <c r="L6" s="19"/>
      <c r="M6" s="19"/>
      <c r="N6" s="19"/>
      <c r="O6" s="19"/>
      <c r="P6" s="19"/>
    </row>
    <row r="7" spans="1:16" ht="29.5" x14ac:dyDescent="0.75">
      <c r="B7" s="1" t="s">
        <v>55</v>
      </c>
      <c r="C7" s="4" t="b">
        <v>1</v>
      </c>
      <c r="D7" s="4" t="b">
        <v>0</v>
      </c>
      <c r="E7" s="4" t="b">
        <v>0</v>
      </c>
      <c r="F7" s="4" t="b">
        <v>0</v>
      </c>
      <c r="G7" s="11" t="s">
        <v>209</v>
      </c>
      <c r="H7">
        <v>3</v>
      </c>
      <c r="I7" s="19"/>
      <c r="J7" s="19"/>
      <c r="K7" s="19"/>
      <c r="L7" s="19"/>
      <c r="M7" s="19"/>
      <c r="N7" s="19"/>
      <c r="O7" s="19"/>
      <c r="P7" s="19"/>
    </row>
    <row r="8" spans="1:16" x14ac:dyDescent="0.75">
      <c r="A8" t="s">
        <v>256</v>
      </c>
      <c r="B8" s="3" t="s">
        <v>66</v>
      </c>
      <c r="C8" s="4" t="b">
        <v>0</v>
      </c>
      <c r="D8" s="4" t="b">
        <v>0</v>
      </c>
      <c r="E8" s="4" t="b">
        <v>0</v>
      </c>
      <c r="F8" s="4" t="b">
        <v>0</v>
      </c>
      <c r="G8" s="11"/>
      <c r="H8">
        <v>2</v>
      </c>
      <c r="I8" s="19"/>
      <c r="J8" s="19"/>
      <c r="K8" s="19"/>
      <c r="L8" s="19"/>
      <c r="M8" s="19"/>
      <c r="N8" s="19"/>
      <c r="O8" s="19"/>
      <c r="P8" s="19"/>
    </row>
    <row r="9" spans="1:16" ht="29.5" x14ac:dyDescent="0.75">
      <c r="A9" t="s">
        <v>256</v>
      </c>
      <c r="B9" s="18" t="s">
        <v>72</v>
      </c>
      <c r="C9" s="4" t="s">
        <v>215</v>
      </c>
      <c r="D9" s="4" t="b">
        <v>0</v>
      </c>
      <c r="E9" s="4" t="b">
        <v>0</v>
      </c>
      <c r="F9" s="4" t="b">
        <v>0</v>
      </c>
      <c r="G9" s="11" t="s">
        <v>209</v>
      </c>
      <c r="H9">
        <v>3</v>
      </c>
      <c r="I9" s="19"/>
      <c r="J9" s="19"/>
      <c r="K9" s="19"/>
      <c r="L9" s="19"/>
      <c r="M9" s="19"/>
      <c r="N9" s="19"/>
      <c r="O9" s="19"/>
      <c r="P9" s="19"/>
    </row>
    <row r="10" spans="1:16" x14ac:dyDescent="0.75">
      <c r="B10" s="1" t="s">
        <v>85</v>
      </c>
      <c r="C10" s="4" t="b">
        <v>0</v>
      </c>
      <c r="D10" s="4" t="b">
        <v>1</v>
      </c>
      <c r="E10" s="4" t="b">
        <v>0</v>
      </c>
      <c r="F10" s="4" t="b">
        <v>0</v>
      </c>
      <c r="G10" s="11" t="s">
        <v>234</v>
      </c>
      <c r="H10">
        <v>2</v>
      </c>
      <c r="I10" s="19"/>
      <c r="J10" s="19"/>
      <c r="K10" s="19"/>
      <c r="L10" s="19"/>
      <c r="M10" s="19"/>
      <c r="N10" s="19"/>
      <c r="O10" s="19"/>
      <c r="P10" s="19"/>
    </row>
    <row r="11" spans="1:16" ht="29.5" x14ac:dyDescent="0.75">
      <c r="B11" s="1" t="s">
        <v>89</v>
      </c>
      <c r="C11" s="4" t="b">
        <v>1</v>
      </c>
      <c r="D11" s="4" t="b">
        <v>0</v>
      </c>
      <c r="E11" s="4" t="b">
        <v>0</v>
      </c>
      <c r="F11" s="4" t="b">
        <v>0</v>
      </c>
      <c r="G11" s="11" t="s">
        <v>209</v>
      </c>
      <c r="H11">
        <v>3</v>
      </c>
      <c r="I11" s="19"/>
      <c r="J11" s="19"/>
      <c r="K11" s="19"/>
      <c r="L11" s="19"/>
      <c r="M11" s="19"/>
      <c r="N11" s="19"/>
      <c r="O11" s="19"/>
      <c r="P11" s="19"/>
    </row>
    <row r="12" spans="1:16" x14ac:dyDescent="0.75">
      <c r="B12" s="1" t="s">
        <v>97</v>
      </c>
      <c r="C12" s="4" t="b">
        <v>0</v>
      </c>
      <c r="D12" s="4" t="b">
        <v>1</v>
      </c>
      <c r="E12" s="4" t="b">
        <v>0</v>
      </c>
      <c r="F12" s="4" t="b">
        <v>0</v>
      </c>
      <c r="G12" s="11" t="s">
        <v>235</v>
      </c>
      <c r="H12">
        <v>2</v>
      </c>
      <c r="I12" s="19"/>
      <c r="J12" s="19"/>
      <c r="K12" s="19"/>
      <c r="L12" s="19"/>
      <c r="M12" s="19"/>
      <c r="N12" s="19"/>
      <c r="O12" s="19"/>
      <c r="P12" s="19"/>
    </row>
    <row r="13" spans="1:16" x14ac:dyDescent="0.75">
      <c r="A13" t="s">
        <v>256</v>
      </c>
      <c r="B13" s="3" t="s">
        <v>102</v>
      </c>
      <c r="C13" s="4" t="b">
        <v>0</v>
      </c>
      <c r="D13" s="4" t="b">
        <v>0</v>
      </c>
      <c r="E13" s="4" t="b">
        <v>0</v>
      </c>
      <c r="F13" s="4" t="b">
        <v>0</v>
      </c>
      <c r="G13" s="11"/>
      <c r="I13" s="19"/>
      <c r="J13" s="19"/>
      <c r="K13" s="19"/>
      <c r="L13" s="19"/>
      <c r="M13" s="19"/>
      <c r="N13" s="19"/>
      <c r="O13" s="19"/>
      <c r="P13" s="19"/>
    </row>
    <row r="14" spans="1:16" ht="29.5" x14ac:dyDescent="0.75">
      <c r="B14" s="1" t="s">
        <v>103</v>
      </c>
      <c r="C14" s="4" t="b">
        <v>1</v>
      </c>
      <c r="D14" s="4" t="b">
        <v>0</v>
      </c>
      <c r="E14" s="4" t="b">
        <v>0</v>
      </c>
      <c r="F14" s="4" t="b">
        <v>0</v>
      </c>
      <c r="G14" s="11" t="s">
        <v>209</v>
      </c>
      <c r="H14">
        <v>2</v>
      </c>
      <c r="I14" s="19"/>
      <c r="J14" s="19"/>
      <c r="K14" s="19"/>
      <c r="L14" s="19"/>
      <c r="M14" s="19"/>
      <c r="N14" s="19"/>
      <c r="O14" s="19"/>
      <c r="P14" s="19"/>
    </row>
    <row r="15" spans="1:16" x14ac:dyDescent="0.75">
      <c r="B15" s="1" t="s">
        <v>104</v>
      </c>
      <c r="C15" s="4" t="b">
        <v>1</v>
      </c>
      <c r="D15" s="4" t="b">
        <v>0</v>
      </c>
      <c r="E15" s="4" t="b">
        <v>0</v>
      </c>
      <c r="F15" s="4" t="b">
        <v>0</v>
      </c>
      <c r="G15" s="11" t="s">
        <v>209</v>
      </c>
      <c r="H15">
        <v>2</v>
      </c>
      <c r="I15" s="19"/>
      <c r="J15" s="19"/>
      <c r="K15" s="19"/>
      <c r="L15" s="19"/>
      <c r="M15" s="19"/>
      <c r="N15" s="19"/>
      <c r="O15" s="19"/>
      <c r="P15" s="19"/>
    </row>
    <row r="16" spans="1:16" ht="29.5" x14ac:dyDescent="0.75">
      <c r="B16" s="1" t="s">
        <v>107</v>
      </c>
      <c r="C16" s="4" t="b">
        <v>1</v>
      </c>
      <c r="D16" s="4" t="b">
        <v>0</v>
      </c>
      <c r="E16" s="4" t="b">
        <v>0</v>
      </c>
      <c r="F16" s="4" t="b">
        <v>0</v>
      </c>
      <c r="G16" s="11" t="s">
        <v>209</v>
      </c>
      <c r="H16">
        <v>3</v>
      </c>
      <c r="I16" s="19"/>
      <c r="J16" s="19"/>
      <c r="K16" s="19"/>
      <c r="L16" s="19"/>
      <c r="M16" s="19"/>
      <c r="N16" s="19"/>
      <c r="O16" s="19"/>
      <c r="P16" s="19"/>
    </row>
    <row r="17" spans="2:16" x14ac:dyDescent="0.75">
      <c r="B17" s="1" t="s">
        <v>117</v>
      </c>
      <c r="C17" s="4" t="b">
        <v>1</v>
      </c>
      <c r="D17" s="4" t="b">
        <v>0</v>
      </c>
      <c r="E17" s="4" t="b">
        <v>0</v>
      </c>
      <c r="F17" s="4" t="b">
        <v>0</v>
      </c>
      <c r="G17" s="11" t="s">
        <v>209</v>
      </c>
      <c r="H17">
        <v>3</v>
      </c>
      <c r="I17" s="19"/>
      <c r="J17" s="19"/>
      <c r="K17" s="19"/>
      <c r="L17" s="19"/>
      <c r="M17" s="19"/>
      <c r="N17" s="19"/>
      <c r="O17" s="19"/>
      <c r="P17" s="19"/>
    </row>
    <row r="18" spans="2:16" x14ac:dyDescent="0.75">
      <c r="B18" s="1" t="s">
        <v>119</v>
      </c>
      <c r="C18" s="4" t="b">
        <v>0</v>
      </c>
      <c r="D18" s="4" t="b">
        <v>1</v>
      </c>
      <c r="E18" s="4" t="b">
        <v>0</v>
      </c>
      <c r="F18" s="4" t="b">
        <v>0</v>
      </c>
      <c r="G18" s="11" t="s">
        <v>233</v>
      </c>
      <c r="H18">
        <v>2</v>
      </c>
      <c r="I18" s="19"/>
      <c r="J18" s="19"/>
      <c r="K18" s="19"/>
      <c r="L18" s="19"/>
      <c r="M18" s="19"/>
      <c r="N18" s="19"/>
      <c r="O18" s="19"/>
      <c r="P18" s="19"/>
    </row>
    <row r="19" spans="2:16" ht="29.5" x14ac:dyDescent="0.75">
      <c r="B19" s="1" t="s">
        <v>124</v>
      </c>
      <c r="C19" s="4" t="b">
        <v>0</v>
      </c>
      <c r="D19" s="4" t="b">
        <v>0</v>
      </c>
      <c r="E19" s="4" t="b">
        <v>1</v>
      </c>
      <c r="F19" s="4" t="b">
        <v>0</v>
      </c>
      <c r="G19" s="11" t="s">
        <v>210</v>
      </c>
      <c r="H19">
        <v>3</v>
      </c>
      <c r="I19" s="19"/>
      <c r="J19" s="19"/>
      <c r="K19" s="19"/>
      <c r="L19" s="19"/>
      <c r="M19" s="19"/>
      <c r="N19" s="19"/>
      <c r="O19" s="19"/>
      <c r="P19" s="19"/>
    </row>
    <row r="20" spans="2:16" x14ac:dyDescent="0.75">
      <c r="B20" s="1" t="s">
        <v>131</v>
      </c>
      <c r="C20" s="4" t="b">
        <v>1</v>
      </c>
      <c r="D20" s="4" t="b">
        <v>0</v>
      </c>
      <c r="E20" s="4" t="b">
        <v>0</v>
      </c>
      <c r="F20" s="4" t="b">
        <v>0</v>
      </c>
      <c r="G20" s="11" t="s">
        <v>209</v>
      </c>
      <c r="H20">
        <v>3</v>
      </c>
      <c r="I20" s="19"/>
      <c r="J20" s="19"/>
      <c r="K20" s="19"/>
      <c r="L20" s="19"/>
      <c r="M20" s="19"/>
      <c r="N20" s="19"/>
      <c r="O20" s="19"/>
      <c r="P20" s="19"/>
    </row>
    <row r="21" spans="2:16" ht="29.5" x14ac:dyDescent="0.75">
      <c r="B21" s="1" t="s">
        <v>133</v>
      </c>
      <c r="C21" s="4" t="b">
        <v>1</v>
      </c>
      <c r="D21" s="4" t="b">
        <v>0</v>
      </c>
      <c r="E21" s="4" t="b">
        <v>0</v>
      </c>
      <c r="F21" s="4" t="b">
        <v>0</v>
      </c>
      <c r="G21" s="11" t="s">
        <v>209</v>
      </c>
      <c r="H21">
        <v>3</v>
      </c>
      <c r="I21" s="19"/>
      <c r="J21" s="19"/>
      <c r="K21" s="19"/>
      <c r="L21" s="19"/>
      <c r="M21" s="19"/>
      <c r="N21" s="19"/>
      <c r="O21" s="19"/>
      <c r="P21" s="19"/>
    </row>
    <row r="22" spans="2:16" x14ac:dyDescent="0.75">
      <c r="B22" s="1" t="s">
        <v>141</v>
      </c>
      <c r="C22" s="4" t="b">
        <v>1</v>
      </c>
      <c r="D22" s="4" t="b">
        <v>0</v>
      </c>
      <c r="E22" s="4" t="b">
        <v>0</v>
      </c>
      <c r="F22" s="4" t="b">
        <v>0</v>
      </c>
      <c r="G22" s="11" t="s">
        <v>209</v>
      </c>
      <c r="H22">
        <v>3</v>
      </c>
      <c r="I22" s="19"/>
      <c r="J22" s="19"/>
      <c r="K22" s="19"/>
      <c r="L22" s="19"/>
      <c r="M22" s="19"/>
      <c r="N22" s="19"/>
      <c r="O22" s="19"/>
      <c r="P22" s="19"/>
    </row>
    <row r="23" spans="2:16" ht="29.5" x14ac:dyDescent="0.75">
      <c r="B23" s="1" t="s">
        <v>154</v>
      </c>
      <c r="C23" s="4" t="b">
        <v>1</v>
      </c>
      <c r="D23" s="4" t="b">
        <v>0</v>
      </c>
      <c r="E23" s="4" t="b">
        <v>0</v>
      </c>
      <c r="F23" s="4" t="b">
        <v>0</v>
      </c>
      <c r="G23" s="11" t="s">
        <v>209</v>
      </c>
      <c r="H23">
        <v>3</v>
      </c>
      <c r="I23" s="19"/>
      <c r="J23" s="19"/>
      <c r="K23" s="19"/>
      <c r="L23" s="19"/>
      <c r="M23" s="19"/>
      <c r="N23" s="19"/>
      <c r="O23" s="19"/>
      <c r="P23" s="19"/>
    </row>
    <row r="24" spans="2:16" x14ac:dyDescent="0.75">
      <c r="B24" s="1" t="s">
        <v>159</v>
      </c>
      <c r="C24" s="4" t="b">
        <v>0</v>
      </c>
      <c r="D24" s="4" t="b">
        <v>0</v>
      </c>
      <c r="E24" s="4" t="b">
        <v>1</v>
      </c>
      <c r="F24" s="4" t="b">
        <v>0</v>
      </c>
      <c r="G24" s="11" t="s">
        <v>210</v>
      </c>
      <c r="H24">
        <v>3</v>
      </c>
      <c r="I24" s="19"/>
      <c r="J24" s="19"/>
      <c r="K24" s="19"/>
      <c r="L24" s="19"/>
      <c r="M24" s="19"/>
      <c r="N24" s="19"/>
      <c r="O24" s="19"/>
      <c r="P24" s="19"/>
    </row>
    <row r="25" spans="2:16" x14ac:dyDescent="0.75">
      <c r="B25" s="1" t="s">
        <v>163</v>
      </c>
      <c r="C25" s="4" t="b">
        <v>0</v>
      </c>
      <c r="D25" s="4" t="b">
        <v>0</v>
      </c>
      <c r="E25" s="4" t="b">
        <v>0</v>
      </c>
      <c r="F25" s="4" t="b">
        <v>1</v>
      </c>
      <c r="G25" s="11" t="s">
        <v>210</v>
      </c>
      <c r="H25">
        <v>3</v>
      </c>
      <c r="I25" s="19"/>
      <c r="J25" s="19"/>
      <c r="K25" s="19"/>
      <c r="L25" s="19"/>
      <c r="M25" s="19"/>
      <c r="N25" s="19"/>
      <c r="O25" s="19"/>
      <c r="P25" s="19"/>
    </row>
    <row r="26" spans="2:16" x14ac:dyDescent="0.75">
      <c r="B26" s="1" t="s">
        <v>170</v>
      </c>
      <c r="C26" s="4" t="b">
        <v>0</v>
      </c>
      <c r="D26" s="4" t="b">
        <v>1</v>
      </c>
      <c r="E26" s="4" t="b">
        <v>0</v>
      </c>
      <c r="F26" s="4" t="b">
        <v>0</v>
      </c>
      <c r="G26" s="11" t="s">
        <v>232</v>
      </c>
      <c r="H26">
        <v>2</v>
      </c>
      <c r="I26" s="19"/>
      <c r="J26" s="19"/>
      <c r="K26" s="19"/>
      <c r="L26" s="19"/>
      <c r="M26" s="19"/>
      <c r="N26" s="19"/>
      <c r="O26" s="19"/>
      <c r="P26" s="19"/>
    </row>
    <row r="27" spans="2:16" ht="29.5" x14ac:dyDescent="0.75">
      <c r="B27" s="1" t="s">
        <v>172</v>
      </c>
      <c r="C27" s="4" t="b">
        <v>0</v>
      </c>
      <c r="D27" s="4" t="b">
        <v>1</v>
      </c>
      <c r="E27" s="4" t="b">
        <v>0</v>
      </c>
      <c r="F27" s="4" t="b">
        <v>0</v>
      </c>
      <c r="G27" s="11" t="s">
        <v>232</v>
      </c>
      <c r="H27">
        <v>2</v>
      </c>
      <c r="I27" s="19"/>
      <c r="J27" s="19"/>
      <c r="K27" s="19"/>
      <c r="L27" s="19"/>
      <c r="M27" s="19"/>
      <c r="N27" s="19"/>
      <c r="O27" s="19"/>
      <c r="P27" s="19"/>
    </row>
    <row r="28" spans="2:16" ht="29.5" x14ac:dyDescent="0.75">
      <c r="B28" s="1" t="s">
        <v>201</v>
      </c>
      <c r="C28" s="4" t="b">
        <v>1</v>
      </c>
      <c r="D28" s="4" t="b">
        <v>0</v>
      </c>
      <c r="E28" s="4" t="b">
        <v>0</v>
      </c>
      <c r="F28" s="4" t="b">
        <v>0</v>
      </c>
      <c r="G28" s="11" t="s">
        <v>209</v>
      </c>
      <c r="H28">
        <v>3</v>
      </c>
      <c r="I28" s="19"/>
      <c r="J28" s="19"/>
      <c r="K28" s="19"/>
      <c r="L28" s="19"/>
      <c r="M28" s="19"/>
      <c r="N28" s="19"/>
      <c r="O28" s="19"/>
      <c r="P28" s="19"/>
    </row>
    <row r="29" spans="2:16" ht="29.5" x14ac:dyDescent="0.75">
      <c r="B29" s="1" t="s">
        <v>202</v>
      </c>
      <c r="C29" s="4" t="b">
        <v>1</v>
      </c>
      <c r="D29" s="4" t="b">
        <v>0</v>
      </c>
      <c r="E29" s="4" t="b">
        <v>0</v>
      </c>
      <c r="F29" s="4" t="b">
        <v>0</v>
      </c>
      <c r="G29" s="11" t="s">
        <v>209</v>
      </c>
      <c r="H29">
        <v>3</v>
      </c>
      <c r="I29" s="19"/>
      <c r="J29" s="19"/>
      <c r="K29" s="19"/>
      <c r="L29" s="19"/>
      <c r="M29" s="19"/>
      <c r="N29" s="19"/>
      <c r="O29" s="19"/>
      <c r="P29" s="19"/>
    </row>
    <row r="30" spans="2:16" x14ac:dyDescent="0.75">
      <c r="G30" s="11"/>
    </row>
    <row r="31" spans="2:16" x14ac:dyDescent="0.75">
      <c r="G31" s="11"/>
      <c r="I31" s="8" t="s">
        <v>203</v>
      </c>
      <c r="J31" t="s">
        <v>204</v>
      </c>
    </row>
    <row r="32" spans="2:16" x14ac:dyDescent="0.75">
      <c r="G32" s="11"/>
    </row>
    <row r="33" spans="3:9" x14ac:dyDescent="0.75">
      <c r="G33" s="11"/>
      <c r="I33" s="8"/>
    </row>
    <row r="34" spans="3:9" x14ac:dyDescent="0.75">
      <c r="C34">
        <f>COUNTIF(C2:C32, TRUE)</f>
        <v>13</v>
      </c>
      <c r="D34">
        <f>COUNTIF(D2:D32, TRUE)</f>
        <v>6</v>
      </c>
      <c r="E34">
        <f>COUNTIF(E2:E32, TRUE)</f>
        <v>4</v>
      </c>
      <c r="F34">
        <f>COUNTIF(F2:F32, TRUE)</f>
        <v>1</v>
      </c>
      <c r="G34">
        <f>SUM(C34:F34)</f>
        <v>24</v>
      </c>
      <c r="I34" s="8"/>
    </row>
    <row r="35" spans="3:9" x14ac:dyDescent="0.75">
      <c r="I35" s="9"/>
    </row>
    <row r="36" spans="3:9" x14ac:dyDescent="0.75">
      <c r="I36" s="10"/>
    </row>
    <row r="38" spans="3:9" x14ac:dyDescent="0.75">
      <c r="I38" s="8"/>
    </row>
    <row r="39" spans="3:9" x14ac:dyDescent="0.75">
      <c r="I39" s="9"/>
    </row>
    <row r="40" spans="3:9" x14ac:dyDescent="0.75">
      <c r="I40" s="10"/>
    </row>
    <row r="42" spans="3:9" x14ac:dyDescent="0.75">
      <c r="I42" s="8"/>
    </row>
    <row r="43" spans="3:9" x14ac:dyDescent="0.75">
      <c r="I43" s="9"/>
    </row>
    <row r="44" spans="3:9" x14ac:dyDescent="0.75">
      <c r="I44" s="10"/>
    </row>
  </sheetData>
  <mergeCells count="1">
    <mergeCell ref="I4:P29"/>
  </mergeCells>
  <conditionalFormatting sqref="H3:H29">
    <cfRule type="cellIs" dxfId="4"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A856-B76C-47EF-8AE3-663C6DFB6039}">
  <dimension ref="A1:P34"/>
  <sheetViews>
    <sheetView topLeftCell="B1" workbookViewId="0">
      <selection activeCell="I31" sqref="I31"/>
    </sheetView>
  </sheetViews>
  <sheetFormatPr defaultRowHeight="14.75" x14ac:dyDescent="0.75"/>
  <cols>
    <col min="2" max="2" width="66.26953125" customWidth="1"/>
    <col min="7" max="7" width="43.6328125" customWidth="1"/>
  </cols>
  <sheetData>
    <row r="1" spans="1:16" x14ac:dyDescent="0.75">
      <c r="A1" s="16"/>
      <c r="B1" s="16" t="s">
        <v>4</v>
      </c>
      <c r="C1" s="16"/>
      <c r="D1" s="16"/>
      <c r="E1" s="16"/>
      <c r="F1" s="16"/>
      <c r="G1" s="16" t="s">
        <v>205</v>
      </c>
      <c r="H1" s="16" t="s">
        <v>206</v>
      </c>
    </row>
    <row r="2" spans="1:16" x14ac:dyDescent="0.75">
      <c r="A2" s="16" t="s">
        <v>255</v>
      </c>
      <c r="B2" s="16" t="s">
        <v>236</v>
      </c>
      <c r="C2" s="16" t="s">
        <v>254</v>
      </c>
      <c r="D2" s="16" t="s">
        <v>228</v>
      </c>
      <c r="E2" s="16" t="s">
        <v>229</v>
      </c>
      <c r="F2" s="16" t="s">
        <v>230</v>
      </c>
      <c r="G2" s="17"/>
      <c r="H2" s="16"/>
    </row>
    <row r="3" spans="1:16" x14ac:dyDescent="0.75">
      <c r="B3" s="1" t="s">
        <v>35</v>
      </c>
      <c r="C3" s="4" t="b">
        <v>1</v>
      </c>
      <c r="D3" s="4" t="b">
        <v>0</v>
      </c>
      <c r="E3" s="4" t="b">
        <v>0</v>
      </c>
      <c r="F3" s="4" t="b">
        <v>0</v>
      </c>
      <c r="G3" s="11" t="s">
        <v>209</v>
      </c>
      <c r="H3">
        <v>3</v>
      </c>
      <c r="J3" s="19" t="s">
        <v>12</v>
      </c>
      <c r="K3" s="19"/>
      <c r="L3" s="19"/>
      <c r="M3" s="19"/>
      <c r="N3" s="19"/>
      <c r="O3" s="19"/>
      <c r="P3" s="19"/>
    </row>
    <row r="4" spans="1:16" x14ac:dyDescent="0.75">
      <c r="B4" s="1" t="s">
        <v>42</v>
      </c>
      <c r="C4" s="4" t="b">
        <v>1</v>
      </c>
      <c r="D4" s="4" t="b">
        <v>0</v>
      </c>
      <c r="E4" s="4" t="b">
        <v>0</v>
      </c>
      <c r="F4" s="4" t="b">
        <v>0</v>
      </c>
      <c r="G4" s="11" t="s">
        <v>209</v>
      </c>
      <c r="H4">
        <v>3</v>
      </c>
      <c r="J4" s="19"/>
      <c r="K4" s="19"/>
      <c r="L4" s="19"/>
      <c r="M4" s="19"/>
      <c r="N4" s="19"/>
      <c r="O4" s="19"/>
      <c r="P4" s="19"/>
    </row>
    <row r="5" spans="1:16" x14ac:dyDescent="0.75">
      <c r="B5" s="1" t="s">
        <v>58</v>
      </c>
      <c r="C5" s="4" t="b">
        <v>1</v>
      </c>
      <c r="D5" s="4" t="b">
        <v>0</v>
      </c>
      <c r="E5" s="4" t="b">
        <v>0</v>
      </c>
      <c r="F5" s="4" t="b">
        <v>0</v>
      </c>
      <c r="G5" s="11" t="s">
        <v>209</v>
      </c>
      <c r="H5">
        <v>3</v>
      </c>
      <c r="J5" s="19"/>
      <c r="K5" s="19"/>
      <c r="L5" s="19"/>
      <c r="M5" s="19"/>
      <c r="N5" s="19"/>
      <c r="O5" s="19"/>
      <c r="P5" s="19"/>
    </row>
    <row r="6" spans="1:16" x14ac:dyDescent="0.75">
      <c r="B6" s="1" t="s">
        <v>62</v>
      </c>
      <c r="C6" s="4" t="b">
        <v>1</v>
      </c>
      <c r="D6" s="4" t="b">
        <v>0</v>
      </c>
      <c r="E6" s="4" t="b">
        <v>0</v>
      </c>
      <c r="F6" s="4" t="b">
        <v>0</v>
      </c>
      <c r="G6" s="11" t="s">
        <v>209</v>
      </c>
      <c r="H6">
        <v>3</v>
      </c>
      <c r="J6" s="19"/>
      <c r="K6" s="19"/>
      <c r="L6" s="19"/>
      <c r="M6" s="19"/>
      <c r="N6" s="19"/>
      <c r="O6" s="19"/>
      <c r="P6" s="19"/>
    </row>
    <row r="7" spans="1:16" x14ac:dyDescent="0.75">
      <c r="B7" s="1" t="s">
        <v>64</v>
      </c>
      <c r="C7" s="4" t="b">
        <v>1</v>
      </c>
      <c r="D7" s="4" t="b">
        <v>0</v>
      </c>
      <c r="E7" s="4" t="b">
        <v>0</v>
      </c>
      <c r="F7" s="4" t="b">
        <v>0</v>
      </c>
      <c r="G7" s="11" t="s">
        <v>209</v>
      </c>
      <c r="H7">
        <v>3</v>
      </c>
      <c r="J7" s="19"/>
      <c r="K7" s="19"/>
      <c r="L7" s="19"/>
      <c r="M7" s="19"/>
      <c r="N7" s="19"/>
      <c r="O7" s="19"/>
      <c r="P7" s="19"/>
    </row>
    <row r="8" spans="1:16" x14ac:dyDescent="0.75">
      <c r="A8" t="s">
        <v>256</v>
      </c>
      <c r="B8" s="18" t="s">
        <v>76</v>
      </c>
      <c r="C8" s="4" t="s">
        <v>215</v>
      </c>
      <c r="D8" s="4" t="b">
        <v>0</v>
      </c>
      <c r="E8" s="4" t="b">
        <v>0</v>
      </c>
      <c r="F8" s="4" t="b">
        <v>0</v>
      </c>
      <c r="G8" s="11" t="s">
        <v>209</v>
      </c>
      <c r="H8">
        <v>3</v>
      </c>
      <c r="J8" s="19"/>
      <c r="K8" s="19"/>
      <c r="L8" s="19"/>
      <c r="M8" s="19"/>
      <c r="N8" s="19"/>
      <c r="O8" s="19"/>
      <c r="P8" s="19"/>
    </row>
    <row r="9" spans="1:16" x14ac:dyDescent="0.75">
      <c r="B9" s="1" t="s">
        <v>78</v>
      </c>
      <c r="C9" s="4" t="b">
        <v>1</v>
      </c>
      <c r="D9" s="4" t="b">
        <v>0</v>
      </c>
      <c r="E9" s="4" t="b">
        <v>0</v>
      </c>
      <c r="F9" s="4" t="b">
        <v>0</v>
      </c>
      <c r="G9" s="11" t="s">
        <v>209</v>
      </c>
      <c r="H9">
        <v>3</v>
      </c>
      <c r="J9" s="19"/>
      <c r="K9" s="19"/>
      <c r="L9" s="19"/>
      <c r="M9" s="19"/>
      <c r="N9" s="19"/>
      <c r="O9" s="19"/>
      <c r="P9" s="19"/>
    </row>
    <row r="10" spans="1:16" x14ac:dyDescent="0.75">
      <c r="B10" s="1" t="s">
        <v>81</v>
      </c>
      <c r="C10" s="4" t="b">
        <v>0</v>
      </c>
      <c r="D10" s="4" t="b">
        <v>0</v>
      </c>
      <c r="E10" s="4" t="b">
        <v>1</v>
      </c>
      <c r="F10" s="4" t="b">
        <v>0</v>
      </c>
      <c r="G10" s="11" t="s">
        <v>210</v>
      </c>
      <c r="H10">
        <v>3</v>
      </c>
      <c r="J10" s="19"/>
      <c r="K10" s="19"/>
      <c r="L10" s="19"/>
      <c r="M10" s="19"/>
      <c r="N10" s="19"/>
      <c r="O10" s="19"/>
      <c r="P10" s="19"/>
    </row>
    <row r="11" spans="1:16" x14ac:dyDescent="0.75">
      <c r="B11" s="1" t="s">
        <v>84</v>
      </c>
      <c r="C11" s="4" t="b">
        <v>0</v>
      </c>
      <c r="D11" s="4" t="b">
        <v>0</v>
      </c>
      <c r="E11" s="4" t="b">
        <v>1</v>
      </c>
      <c r="F11" s="4" t="b">
        <v>0</v>
      </c>
      <c r="G11" s="11" t="s">
        <v>210</v>
      </c>
      <c r="H11">
        <v>3</v>
      </c>
      <c r="J11" s="19"/>
      <c r="K11" s="19"/>
      <c r="L11" s="19"/>
      <c r="M11" s="19"/>
      <c r="N11" s="19"/>
      <c r="O11" s="19"/>
      <c r="P11" s="19"/>
    </row>
    <row r="12" spans="1:16" x14ac:dyDescent="0.75">
      <c r="B12" s="1" t="s">
        <v>90</v>
      </c>
      <c r="C12" s="4" t="b">
        <v>0</v>
      </c>
      <c r="D12" s="4" t="b">
        <v>0</v>
      </c>
      <c r="E12" s="4" t="b">
        <v>1</v>
      </c>
      <c r="F12" s="4" t="b">
        <v>0</v>
      </c>
      <c r="G12" s="11" t="s">
        <v>210</v>
      </c>
      <c r="H12">
        <v>3</v>
      </c>
      <c r="J12" s="19"/>
      <c r="K12" s="19"/>
      <c r="L12" s="19"/>
      <c r="M12" s="19"/>
      <c r="N12" s="19"/>
      <c r="O12" s="19"/>
      <c r="P12" s="19"/>
    </row>
    <row r="13" spans="1:16" x14ac:dyDescent="0.75">
      <c r="B13" s="1" t="s">
        <v>91</v>
      </c>
      <c r="C13" s="4" t="b">
        <v>1</v>
      </c>
      <c r="D13" s="4" t="b">
        <v>0</v>
      </c>
      <c r="E13" s="4" t="b">
        <v>0</v>
      </c>
      <c r="F13" s="4" t="b">
        <v>0</v>
      </c>
      <c r="G13" s="11" t="s">
        <v>209</v>
      </c>
      <c r="H13">
        <v>3</v>
      </c>
      <c r="J13" s="19"/>
      <c r="K13" s="19"/>
      <c r="L13" s="19"/>
      <c r="M13" s="19"/>
      <c r="N13" s="19"/>
      <c r="O13" s="19"/>
      <c r="P13" s="19"/>
    </row>
    <row r="14" spans="1:16" x14ac:dyDescent="0.75">
      <c r="B14" s="1" t="s">
        <v>98</v>
      </c>
      <c r="C14" s="4" t="b">
        <v>0</v>
      </c>
      <c r="D14" s="4" t="b">
        <v>0</v>
      </c>
      <c r="E14" s="4" t="b">
        <v>1</v>
      </c>
      <c r="F14" s="4" t="b">
        <v>0</v>
      </c>
      <c r="G14" s="11" t="s">
        <v>211</v>
      </c>
      <c r="H14">
        <v>2</v>
      </c>
      <c r="J14" s="19"/>
      <c r="K14" s="19"/>
      <c r="L14" s="19"/>
      <c r="M14" s="19"/>
      <c r="N14" s="19"/>
      <c r="O14" s="19"/>
      <c r="P14" s="19"/>
    </row>
    <row r="15" spans="1:16" x14ac:dyDescent="0.75">
      <c r="B15" s="1" t="s">
        <v>100</v>
      </c>
      <c r="C15" s="4" t="b">
        <v>1</v>
      </c>
      <c r="D15" s="4" t="b">
        <v>0</v>
      </c>
      <c r="E15" s="4" t="b">
        <v>0</v>
      </c>
      <c r="F15" s="4" t="b">
        <v>0</v>
      </c>
      <c r="G15" s="11" t="s">
        <v>209</v>
      </c>
      <c r="H15">
        <v>3</v>
      </c>
      <c r="J15" s="19"/>
      <c r="K15" s="19"/>
      <c r="L15" s="19"/>
      <c r="M15" s="19"/>
      <c r="N15" s="19"/>
      <c r="O15" s="19"/>
      <c r="P15" s="19"/>
    </row>
    <row r="16" spans="1:16" x14ac:dyDescent="0.75">
      <c r="B16" s="1" t="s">
        <v>105</v>
      </c>
      <c r="C16" s="4" t="b">
        <v>0</v>
      </c>
      <c r="D16" s="4" t="b">
        <v>0</v>
      </c>
      <c r="E16" s="4" t="b">
        <v>1</v>
      </c>
      <c r="F16" s="4" t="b">
        <v>0</v>
      </c>
      <c r="G16" s="11" t="s">
        <v>212</v>
      </c>
      <c r="H16">
        <v>2</v>
      </c>
      <c r="J16" s="19"/>
      <c r="K16" s="19"/>
      <c r="L16" s="19"/>
      <c r="M16" s="19"/>
      <c r="N16" s="19"/>
      <c r="O16" s="19"/>
      <c r="P16" s="19"/>
    </row>
    <row r="17" spans="1:16" x14ac:dyDescent="0.75">
      <c r="B17" s="1" t="s">
        <v>109</v>
      </c>
      <c r="C17" s="4" t="b">
        <v>1</v>
      </c>
      <c r="D17" s="4" t="b">
        <v>0</v>
      </c>
      <c r="E17" s="4" t="b">
        <v>0</v>
      </c>
      <c r="F17" s="4" t="b">
        <v>0</v>
      </c>
      <c r="G17" s="11" t="s">
        <v>209</v>
      </c>
      <c r="H17">
        <v>3</v>
      </c>
      <c r="J17" s="19"/>
      <c r="K17" s="19"/>
      <c r="L17" s="19"/>
      <c r="M17" s="19"/>
      <c r="N17" s="19"/>
      <c r="O17" s="19"/>
      <c r="P17" s="19"/>
    </row>
    <row r="18" spans="1:16" x14ac:dyDescent="0.75">
      <c r="B18" s="1" t="s">
        <v>112</v>
      </c>
      <c r="C18" s="4" t="b">
        <v>1</v>
      </c>
      <c r="D18" s="4" t="b">
        <v>0</v>
      </c>
      <c r="E18" s="4" t="b">
        <v>0</v>
      </c>
      <c r="F18" s="4" t="b">
        <v>0</v>
      </c>
      <c r="G18" s="11" t="s">
        <v>209</v>
      </c>
      <c r="H18">
        <v>3</v>
      </c>
      <c r="J18" s="19"/>
      <c r="K18" s="19"/>
      <c r="L18" s="19"/>
      <c r="M18" s="19"/>
      <c r="N18" s="19"/>
      <c r="O18" s="19"/>
      <c r="P18" s="19"/>
    </row>
    <row r="19" spans="1:16" x14ac:dyDescent="0.75">
      <c r="A19" t="s">
        <v>256</v>
      </c>
      <c r="B19" s="18" t="s">
        <v>128</v>
      </c>
      <c r="C19" s="4" t="s">
        <v>239</v>
      </c>
      <c r="D19" s="4" t="b">
        <v>0</v>
      </c>
      <c r="E19" s="4" t="b">
        <v>0</v>
      </c>
      <c r="F19" s="4" t="b">
        <v>0</v>
      </c>
      <c r="G19" s="11" t="s">
        <v>209</v>
      </c>
      <c r="H19">
        <v>3</v>
      </c>
      <c r="J19" s="19"/>
      <c r="K19" s="19"/>
      <c r="L19" s="19"/>
      <c r="M19" s="19"/>
      <c r="N19" s="19"/>
      <c r="O19" s="19"/>
      <c r="P19" s="19"/>
    </row>
    <row r="20" spans="1:16" x14ac:dyDescent="0.75">
      <c r="B20" s="1" t="s">
        <v>140</v>
      </c>
      <c r="C20" s="4" t="b">
        <v>1</v>
      </c>
      <c r="D20" s="4" t="b">
        <v>0</v>
      </c>
      <c r="E20" s="4" t="b">
        <v>0</v>
      </c>
      <c r="F20" s="4" t="b">
        <v>0</v>
      </c>
      <c r="G20" s="11" t="s">
        <v>209</v>
      </c>
      <c r="H20">
        <v>3</v>
      </c>
      <c r="J20" s="19"/>
      <c r="K20" s="19"/>
      <c r="L20" s="19"/>
      <c r="M20" s="19"/>
      <c r="N20" s="19"/>
      <c r="O20" s="19"/>
      <c r="P20" s="19"/>
    </row>
    <row r="21" spans="1:16" x14ac:dyDescent="0.75">
      <c r="B21" s="1" t="s">
        <v>151</v>
      </c>
      <c r="C21" s="4" t="b">
        <v>1</v>
      </c>
      <c r="D21" s="4" t="b">
        <v>0</v>
      </c>
      <c r="E21" s="4" t="b">
        <v>0</v>
      </c>
      <c r="F21" s="4" t="b">
        <v>0</v>
      </c>
      <c r="G21" s="11" t="s">
        <v>209</v>
      </c>
      <c r="H21">
        <v>3</v>
      </c>
      <c r="J21" s="19"/>
      <c r="K21" s="19"/>
      <c r="L21" s="19"/>
      <c r="M21" s="19"/>
      <c r="N21" s="19"/>
      <c r="O21" s="19"/>
      <c r="P21" s="19"/>
    </row>
    <row r="22" spans="1:16" ht="29.5" x14ac:dyDescent="0.75">
      <c r="B22" s="1" t="s">
        <v>155</v>
      </c>
      <c r="C22" s="4" t="b">
        <v>1</v>
      </c>
      <c r="D22" s="4" t="b">
        <v>0</v>
      </c>
      <c r="E22" s="4" t="b">
        <v>0</v>
      </c>
      <c r="F22" s="4" t="b">
        <v>0</v>
      </c>
      <c r="G22" s="11" t="s">
        <v>209</v>
      </c>
      <c r="H22">
        <v>3</v>
      </c>
      <c r="J22" s="19"/>
      <c r="K22" s="19"/>
      <c r="L22" s="19"/>
      <c r="M22" s="19"/>
      <c r="N22" s="19"/>
      <c r="O22" s="19"/>
      <c r="P22" s="19"/>
    </row>
    <row r="23" spans="1:16" x14ac:dyDescent="0.75">
      <c r="B23" s="1" t="s">
        <v>156</v>
      </c>
      <c r="C23" s="4" t="b">
        <v>1</v>
      </c>
      <c r="D23" s="4" t="b">
        <v>0</v>
      </c>
      <c r="E23" s="4" t="b">
        <v>0</v>
      </c>
      <c r="F23" s="4" t="b">
        <v>0</v>
      </c>
      <c r="G23" s="11" t="s">
        <v>209</v>
      </c>
      <c r="H23">
        <v>3</v>
      </c>
      <c r="J23" s="19"/>
      <c r="K23" s="19"/>
      <c r="L23" s="19"/>
      <c r="M23" s="19"/>
      <c r="N23" s="19"/>
      <c r="O23" s="19"/>
      <c r="P23" s="19"/>
    </row>
    <row r="24" spans="1:16" x14ac:dyDescent="0.75">
      <c r="B24" s="1" t="s">
        <v>160</v>
      </c>
      <c r="C24" s="4" t="b">
        <v>1</v>
      </c>
      <c r="D24" s="4" t="b">
        <v>0</v>
      </c>
      <c r="E24" s="4" t="b">
        <v>0</v>
      </c>
      <c r="F24" s="4" t="b">
        <v>0</v>
      </c>
      <c r="G24" s="11" t="s">
        <v>209</v>
      </c>
      <c r="H24">
        <v>3</v>
      </c>
      <c r="J24" s="19"/>
      <c r="K24" s="19"/>
      <c r="L24" s="19"/>
      <c r="M24" s="19"/>
      <c r="N24" s="19"/>
      <c r="O24" s="19"/>
      <c r="P24" s="19"/>
    </row>
    <row r="25" spans="1:16" x14ac:dyDescent="0.75">
      <c r="A25" t="s">
        <v>256</v>
      </c>
      <c r="B25" s="3" t="s">
        <v>161</v>
      </c>
      <c r="C25" s="4" t="b">
        <v>0</v>
      </c>
      <c r="D25" s="4" t="b">
        <v>0</v>
      </c>
      <c r="E25" s="4" t="b">
        <v>0</v>
      </c>
      <c r="F25" s="4" t="b">
        <v>0</v>
      </c>
      <c r="G25" s="11"/>
      <c r="J25" s="19"/>
      <c r="K25" s="19"/>
      <c r="L25" s="19"/>
      <c r="M25" s="19"/>
      <c r="N25" s="19"/>
      <c r="O25" s="19"/>
      <c r="P25" s="19"/>
    </row>
    <row r="26" spans="1:16" ht="44.25" x14ac:dyDescent="0.75">
      <c r="B26" s="1" t="s">
        <v>174</v>
      </c>
      <c r="C26" s="4" t="b">
        <v>1</v>
      </c>
      <c r="D26" s="4" t="b">
        <v>0</v>
      </c>
      <c r="E26" s="4" t="b">
        <v>0</v>
      </c>
      <c r="F26" s="4" t="b">
        <v>0</v>
      </c>
      <c r="G26" s="11" t="s">
        <v>209</v>
      </c>
      <c r="H26">
        <v>3</v>
      </c>
      <c r="J26" s="19"/>
      <c r="K26" s="19"/>
      <c r="L26" s="19"/>
      <c r="M26" s="19"/>
      <c r="N26" s="19"/>
      <c r="O26" s="19"/>
      <c r="P26" s="19"/>
    </row>
    <row r="27" spans="1:16" ht="44.25" x14ac:dyDescent="0.75">
      <c r="B27" s="1" t="s">
        <v>175</v>
      </c>
      <c r="C27" s="4" t="b">
        <v>0</v>
      </c>
      <c r="D27" s="4" t="b">
        <v>0</v>
      </c>
      <c r="E27" s="4" t="b">
        <v>1</v>
      </c>
      <c r="F27" s="4" t="b">
        <v>0</v>
      </c>
      <c r="G27" s="11" t="s">
        <v>237</v>
      </c>
      <c r="H27">
        <v>3</v>
      </c>
      <c r="J27" t="s">
        <v>207</v>
      </c>
      <c r="K27" t="s">
        <v>208</v>
      </c>
    </row>
    <row r="28" spans="1:16" x14ac:dyDescent="0.75">
      <c r="B28" s="1" t="s">
        <v>199</v>
      </c>
      <c r="C28" s="4" t="b">
        <v>0</v>
      </c>
      <c r="D28" s="4" t="b">
        <v>0</v>
      </c>
      <c r="E28" s="4" t="b">
        <v>0</v>
      </c>
      <c r="F28" s="4" t="b">
        <v>1</v>
      </c>
      <c r="G28" s="11" t="s">
        <v>238</v>
      </c>
      <c r="H28">
        <v>3</v>
      </c>
    </row>
    <row r="29" spans="1:16" x14ac:dyDescent="0.75">
      <c r="B29" s="1" t="s">
        <v>200</v>
      </c>
      <c r="C29" s="4" t="b">
        <v>1</v>
      </c>
      <c r="D29" s="4" t="b">
        <v>0</v>
      </c>
      <c r="E29" s="4" t="b">
        <v>0</v>
      </c>
      <c r="F29" s="4" t="b">
        <v>0</v>
      </c>
      <c r="G29" s="11"/>
      <c r="H29">
        <v>3</v>
      </c>
    </row>
    <row r="30" spans="1:16" x14ac:dyDescent="0.75">
      <c r="G30" s="11"/>
    </row>
    <row r="31" spans="1:16" x14ac:dyDescent="0.75">
      <c r="G31" s="11"/>
    </row>
    <row r="32" spans="1:16" x14ac:dyDescent="0.75">
      <c r="G32" s="11"/>
    </row>
    <row r="33" spans="3:7" x14ac:dyDescent="0.75">
      <c r="G33" s="11"/>
    </row>
    <row r="34" spans="3:7" x14ac:dyDescent="0.75">
      <c r="C34">
        <f>COUNTIF(C3:C32, TRUE)</f>
        <v>17</v>
      </c>
      <c r="D34">
        <f t="shared" ref="D34:F34" si="0">COUNTIF(D3:D32, TRUE)</f>
        <v>0</v>
      </c>
      <c r="E34">
        <f t="shared" si="0"/>
        <v>6</v>
      </c>
      <c r="F34">
        <f t="shared" si="0"/>
        <v>1</v>
      </c>
      <c r="G34" s="11">
        <f>SUM(C34:F34)</f>
        <v>24</v>
      </c>
    </row>
  </sheetData>
  <mergeCells count="1">
    <mergeCell ref="J3:P26"/>
  </mergeCells>
  <phoneticPr fontId="5" type="noConversion"/>
  <conditionalFormatting sqref="H3:H29">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A0CE-B589-4DA5-8F87-A5FF349FC2AD}">
  <dimension ref="A1:O36"/>
  <sheetViews>
    <sheetView topLeftCell="B26" workbookViewId="0">
      <selection activeCell="H42" sqref="H42"/>
    </sheetView>
  </sheetViews>
  <sheetFormatPr defaultRowHeight="14.75" x14ac:dyDescent="0.75"/>
  <cols>
    <col min="2" max="2" width="68.7265625" customWidth="1"/>
    <col min="7" max="7" width="25.81640625" customWidth="1"/>
  </cols>
  <sheetData>
    <row r="1" spans="1:15" x14ac:dyDescent="0.75">
      <c r="A1" s="16"/>
      <c r="B1" s="16" t="s">
        <v>5</v>
      </c>
      <c r="C1" s="16"/>
      <c r="D1" s="16"/>
      <c r="E1" s="16"/>
      <c r="F1" s="16"/>
      <c r="G1" s="16" t="s">
        <v>213</v>
      </c>
      <c r="H1" s="16" t="s">
        <v>214</v>
      </c>
    </row>
    <row r="2" spans="1:15" x14ac:dyDescent="0.75">
      <c r="A2" s="16" t="s">
        <v>255</v>
      </c>
      <c r="B2" s="17" t="s">
        <v>183</v>
      </c>
      <c r="C2" s="16" t="s">
        <v>254</v>
      </c>
      <c r="D2" s="16" t="s">
        <v>228</v>
      </c>
      <c r="E2" s="16" t="s">
        <v>229</v>
      </c>
      <c r="F2" s="16" t="s">
        <v>230</v>
      </c>
      <c r="G2" s="17"/>
      <c r="H2" s="16"/>
      <c r="J2" s="20" t="s">
        <v>13</v>
      </c>
      <c r="K2" s="20"/>
      <c r="L2" s="20"/>
      <c r="M2" s="20"/>
      <c r="N2" s="20"/>
      <c r="O2" s="20"/>
    </row>
    <row r="3" spans="1:15" ht="29.5" x14ac:dyDescent="0.75">
      <c r="B3" s="1" t="s">
        <v>44</v>
      </c>
      <c r="C3" s="4" t="b">
        <v>1</v>
      </c>
      <c r="D3" s="4" t="b">
        <v>0</v>
      </c>
      <c r="E3" s="4" t="b">
        <v>0</v>
      </c>
      <c r="F3" s="4" t="b">
        <v>0</v>
      </c>
      <c r="G3" s="11" t="s">
        <v>209</v>
      </c>
      <c r="H3">
        <v>3</v>
      </c>
      <c r="J3" s="20"/>
      <c r="K3" s="20"/>
      <c r="L3" s="20"/>
      <c r="M3" s="20"/>
      <c r="N3" s="20"/>
      <c r="O3" s="20"/>
    </row>
    <row r="4" spans="1:15" x14ac:dyDescent="0.75">
      <c r="A4" t="s">
        <v>256</v>
      </c>
      <c r="B4" s="18" t="s">
        <v>56</v>
      </c>
      <c r="C4" s="4" t="s">
        <v>215</v>
      </c>
      <c r="D4" s="4" t="b">
        <v>0</v>
      </c>
      <c r="E4" s="4" t="b">
        <v>0</v>
      </c>
      <c r="F4" s="4" t="b">
        <v>0</v>
      </c>
      <c r="G4" s="11" t="s">
        <v>209</v>
      </c>
      <c r="H4">
        <v>3</v>
      </c>
      <c r="J4" s="20"/>
      <c r="K4" s="20"/>
      <c r="L4" s="20"/>
      <c r="M4" s="20"/>
      <c r="N4" s="20"/>
      <c r="O4" s="20"/>
    </row>
    <row r="5" spans="1:15" x14ac:dyDescent="0.75">
      <c r="B5" s="1" t="s">
        <v>68</v>
      </c>
      <c r="C5" s="4" t="b">
        <v>1</v>
      </c>
      <c r="D5" s="4" t="b">
        <v>0</v>
      </c>
      <c r="E5" s="4" t="b">
        <v>0</v>
      </c>
      <c r="F5" s="4" t="b">
        <v>0</v>
      </c>
      <c r="G5" s="11" t="s">
        <v>209</v>
      </c>
      <c r="H5">
        <v>2</v>
      </c>
      <c r="J5" s="20"/>
      <c r="K5" s="20"/>
      <c r="L5" s="20"/>
      <c r="M5" s="20"/>
      <c r="N5" s="20"/>
      <c r="O5" s="20"/>
    </row>
    <row r="6" spans="1:15" x14ac:dyDescent="0.75">
      <c r="B6" s="1" t="s">
        <v>73</v>
      </c>
      <c r="C6" s="4" t="b">
        <v>1</v>
      </c>
      <c r="D6" s="4" t="b">
        <v>0</v>
      </c>
      <c r="E6" s="4" t="b">
        <v>0</v>
      </c>
      <c r="F6" s="4" t="b">
        <v>0</v>
      </c>
      <c r="G6" s="11" t="s">
        <v>209</v>
      </c>
      <c r="H6">
        <v>2</v>
      </c>
      <c r="J6" s="20"/>
      <c r="K6" s="20"/>
      <c r="L6" s="20"/>
      <c r="M6" s="20"/>
      <c r="N6" s="20"/>
      <c r="O6" s="20"/>
    </row>
    <row r="7" spans="1:15" x14ac:dyDescent="0.75">
      <c r="A7" t="s">
        <v>256</v>
      </c>
      <c r="B7" s="18" t="s">
        <v>77</v>
      </c>
      <c r="C7" s="4" t="s">
        <v>215</v>
      </c>
      <c r="D7" s="4" t="b">
        <v>0</v>
      </c>
      <c r="E7" s="4" t="b">
        <v>0</v>
      </c>
      <c r="F7" s="4" t="b">
        <v>0</v>
      </c>
      <c r="G7" s="11" t="s">
        <v>209</v>
      </c>
      <c r="H7">
        <v>2</v>
      </c>
      <c r="J7" s="20"/>
      <c r="K7" s="20"/>
      <c r="L7" s="20"/>
      <c r="M7" s="20"/>
      <c r="N7" s="20"/>
      <c r="O7" s="20"/>
    </row>
    <row r="8" spans="1:15" x14ac:dyDescent="0.75">
      <c r="B8" s="1" t="s">
        <v>80</v>
      </c>
      <c r="C8" s="4" t="b">
        <v>1</v>
      </c>
      <c r="D8" s="4" t="b">
        <v>0</v>
      </c>
      <c r="E8" s="4" t="b">
        <v>0</v>
      </c>
      <c r="F8" s="4" t="b">
        <v>0</v>
      </c>
      <c r="G8" s="11" t="s">
        <v>209</v>
      </c>
      <c r="H8">
        <v>3</v>
      </c>
      <c r="J8" s="20"/>
      <c r="K8" s="20"/>
      <c r="L8" s="20"/>
      <c r="M8" s="20"/>
      <c r="N8" s="20"/>
      <c r="O8" s="20"/>
    </row>
    <row r="9" spans="1:15" ht="73.75" x14ac:dyDescent="0.75">
      <c r="B9" s="1" t="s">
        <v>88</v>
      </c>
      <c r="C9" s="4" t="b">
        <v>0</v>
      </c>
      <c r="D9" s="4" t="b">
        <v>1</v>
      </c>
      <c r="E9" s="4" t="b">
        <v>0</v>
      </c>
      <c r="F9" s="4" t="b">
        <v>0</v>
      </c>
      <c r="G9" s="11" t="s">
        <v>217</v>
      </c>
      <c r="H9">
        <v>2</v>
      </c>
      <c r="J9" s="20"/>
      <c r="K9" s="20"/>
      <c r="L9" s="20"/>
      <c r="M9" s="20"/>
      <c r="N9" s="20"/>
      <c r="O9" s="20"/>
    </row>
    <row r="10" spans="1:15" x14ac:dyDescent="0.75">
      <c r="B10" s="1" t="s">
        <v>92</v>
      </c>
      <c r="C10" s="4" t="b">
        <v>0</v>
      </c>
      <c r="D10" s="4" t="b">
        <v>0</v>
      </c>
      <c r="E10" s="4" t="b">
        <v>1</v>
      </c>
      <c r="F10" s="4" t="b">
        <v>0</v>
      </c>
      <c r="G10" s="11" t="s">
        <v>210</v>
      </c>
      <c r="H10">
        <v>3</v>
      </c>
      <c r="J10" s="20"/>
      <c r="K10" s="20"/>
      <c r="L10" s="20"/>
      <c r="M10" s="20"/>
      <c r="N10" s="20"/>
      <c r="O10" s="20"/>
    </row>
    <row r="11" spans="1:15" x14ac:dyDescent="0.75">
      <c r="B11" s="1" t="s">
        <v>101</v>
      </c>
      <c r="C11" s="4" t="b">
        <v>1</v>
      </c>
      <c r="D11" s="4" t="b">
        <v>0</v>
      </c>
      <c r="E11" s="4" t="b">
        <v>0</v>
      </c>
      <c r="F11" s="4" t="b">
        <v>0</v>
      </c>
      <c r="G11" s="11" t="s">
        <v>209</v>
      </c>
      <c r="H11">
        <v>3</v>
      </c>
      <c r="J11" s="20"/>
      <c r="K11" s="20"/>
      <c r="L11" s="20"/>
      <c r="M11" s="20"/>
      <c r="N11" s="20"/>
      <c r="O11" s="20"/>
    </row>
    <row r="12" spans="1:15" x14ac:dyDescent="0.75">
      <c r="B12" s="1" t="s">
        <v>114</v>
      </c>
      <c r="C12" s="4" t="b">
        <v>1</v>
      </c>
      <c r="D12" s="4" t="b">
        <v>0</v>
      </c>
      <c r="E12" s="4" t="b">
        <v>0</v>
      </c>
      <c r="F12" s="4" t="b">
        <v>0</v>
      </c>
      <c r="G12" s="11" t="s">
        <v>209</v>
      </c>
      <c r="H12">
        <v>3</v>
      </c>
      <c r="J12" s="20"/>
      <c r="K12" s="20"/>
      <c r="L12" s="20"/>
      <c r="M12" s="20"/>
      <c r="N12" s="20"/>
      <c r="O12" s="20"/>
    </row>
    <row r="13" spans="1:15" x14ac:dyDescent="0.75">
      <c r="A13" t="s">
        <v>256</v>
      </c>
      <c r="B13" s="18" t="s">
        <v>115</v>
      </c>
      <c r="C13" s="4" t="s">
        <v>239</v>
      </c>
      <c r="D13" s="4" t="b">
        <v>0</v>
      </c>
      <c r="E13" s="4" t="b">
        <v>0</v>
      </c>
      <c r="F13" s="4" t="b">
        <v>0</v>
      </c>
      <c r="G13" s="11" t="s">
        <v>209</v>
      </c>
      <c r="H13">
        <v>3</v>
      </c>
      <c r="J13" s="20"/>
      <c r="K13" s="20"/>
      <c r="L13" s="20"/>
      <c r="M13" s="20"/>
      <c r="N13" s="20"/>
      <c r="O13" s="20"/>
    </row>
    <row r="14" spans="1:15" x14ac:dyDescent="0.75">
      <c r="B14" s="1" t="s">
        <v>122</v>
      </c>
      <c r="C14" s="4" t="b">
        <v>0</v>
      </c>
      <c r="D14" s="4" t="b">
        <v>1</v>
      </c>
      <c r="E14" s="4" t="b">
        <v>0</v>
      </c>
      <c r="F14" s="4" t="b">
        <v>0</v>
      </c>
      <c r="G14" s="11" t="s">
        <v>217</v>
      </c>
      <c r="H14">
        <v>2</v>
      </c>
      <c r="J14" s="20"/>
      <c r="K14" s="20"/>
      <c r="L14" s="20"/>
      <c r="M14" s="20"/>
      <c r="N14" s="20"/>
      <c r="O14" s="20"/>
    </row>
    <row r="15" spans="1:15" x14ac:dyDescent="0.75">
      <c r="B15" s="1" t="s">
        <v>125</v>
      </c>
      <c r="C15" s="4" t="b">
        <v>1</v>
      </c>
      <c r="D15" s="4" t="b">
        <v>0</v>
      </c>
      <c r="E15" s="4" t="b">
        <v>0</v>
      </c>
      <c r="F15" s="4" t="b">
        <v>0</v>
      </c>
      <c r="G15" s="11" t="s">
        <v>209</v>
      </c>
      <c r="H15">
        <v>2</v>
      </c>
      <c r="J15" s="20"/>
      <c r="K15" s="20"/>
      <c r="L15" s="20"/>
      <c r="M15" s="20"/>
      <c r="N15" s="20"/>
      <c r="O15" s="20"/>
    </row>
    <row r="16" spans="1:15" x14ac:dyDescent="0.75">
      <c r="B16" s="1" t="s">
        <v>127</v>
      </c>
      <c r="C16" s="4" t="b">
        <v>1</v>
      </c>
      <c r="D16" s="4" t="b">
        <v>0</v>
      </c>
      <c r="E16" s="4" t="b">
        <v>0</v>
      </c>
      <c r="F16" s="4" t="b">
        <v>0</v>
      </c>
      <c r="G16" s="11" t="s">
        <v>209</v>
      </c>
      <c r="H16">
        <v>3</v>
      </c>
      <c r="J16" s="20"/>
      <c r="K16" s="20"/>
      <c r="L16" s="20"/>
      <c r="M16" s="20"/>
      <c r="N16" s="20"/>
      <c r="O16" s="20"/>
    </row>
    <row r="17" spans="1:15" ht="29.5" x14ac:dyDescent="0.75">
      <c r="B17" s="1" t="s">
        <v>129</v>
      </c>
      <c r="C17" s="4" t="b">
        <v>0</v>
      </c>
      <c r="D17" s="4" t="b">
        <v>0</v>
      </c>
      <c r="E17" s="4" t="b">
        <v>1</v>
      </c>
      <c r="F17" s="4" t="b">
        <v>0</v>
      </c>
      <c r="G17" s="11" t="s">
        <v>240</v>
      </c>
      <c r="H17">
        <v>2</v>
      </c>
      <c r="J17" s="20"/>
      <c r="K17" s="20"/>
      <c r="L17" s="20"/>
      <c r="M17" s="20"/>
      <c r="N17" s="20"/>
      <c r="O17" s="20"/>
    </row>
    <row r="18" spans="1:15" ht="29.5" x14ac:dyDescent="0.75">
      <c r="A18" t="s">
        <v>256</v>
      </c>
      <c r="B18" s="18" t="s">
        <v>135</v>
      </c>
      <c r="C18" s="4" t="b">
        <v>0</v>
      </c>
      <c r="D18" s="4" t="b">
        <v>0</v>
      </c>
      <c r="E18" s="4" t="s">
        <v>244</v>
      </c>
      <c r="F18" s="4" t="b">
        <v>0</v>
      </c>
      <c r="G18" s="11" t="s">
        <v>210</v>
      </c>
      <c r="H18">
        <v>3</v>
      </c>
      <c r="J18" s="20"/>
      <c r="K18" s="20"/>
      <c r="L18" s="20"/>
      <c r="M18" s="20"/>
      <c r="N18" s="20"/>
      <c r="O18" s="20"/>
    </row>
    <row r="19" spans="1:15" x14ac:dyDescent="0.75">
      <c r="B19" s="1" t="s">
        <v>137</v>
      </c>
      <c r="C19" s="4" t="b">
        <v>0</v>
      </c>
      <c r="D19" s="4" t="b">
        <v>0</v>
      </c>
      <c r="E19" s="4" t="b">
        <v>1</v>
      </c>
      <c r="F19" s="4" t="b">
        <v>0</v>
      </c>
      <c r="G19" s="11" t="s">
        <v>241</v>
      </c>
      <c r="H19">
        <v>2</v>
      </c>
      <c r="J19" s="20"/>
      <c r="K19" s="20"/>
      <c r="L19" s="20"/>
      <c r="M19" s="20"/>
      <c r="N19" s="20"/>
      <c r="O19" s="20"/>
    </row>
    <row r="20" spans="1:15" x14ac:dyDescent="0.75">
      <c r="B20" s="1" t="s">
        <v>142</v>
      </c>
      <c r="C20" s="4" t="b">
        <v>1</v>
      </c>
      <c r="D20" s="4" t="b">
        <v>0</v>
      </c>
      <c r="E20" s="4" t="b">
        <v>0</v>
      </c>
      <c r="F20" s="4" t="b">
        <v>0</v>
      </c>
      <c r="G20" s="11" t="s">
        <v>209</v>
      </c>
      <c r="H20">
        <v>3</v>
      </c>
      <c r="J20" s="20"/>
      <c r="K20" s="20"/>
      <c r="L20" s="20"/>
      <c r="M20" s="20"/>
      <c r="N20" s="20"/>
      <c r="O20" s="20"/>
    </row>
    <row r="21" spans="1:15" x14ac:dyDescent="0.75">
      <c r="B21" s="1" t="s">
        <v>145</v>
      </c>
      <c r="C21" s="4" t="b">
        <v>0</v>
      </c>
      <c r="D21" s="4" t="b">
        <v>0</v>
      </c>
      <c r="E21" s="4" t="b">
        <v>0</v>
      </c>
      <c r="F21" s="4" t="b">
        <v>1</v>
      </c>
      <c r="G21" s="11" t="s">
        <v>230</v>
      </c>
      <c r="H21">
        <v>2</v>
      </c>
      <c r="J21" s="20"/>
      <c r="K21" s="20"/>
      <c r="L21" s="20"/>
      <c r="M21" s="20"/>
      <c r="N21" s="20"/>
      <c r="O21" s="20"/>
    </row>
    <row r="22" spans="1:15" x14ac:dyDescent="0.75">
      <c r="B22" s="1" t="s">
        <v>152</v>
      </c>
      <c r="C22" s="4" t="b">
        <v>1</v>
      </c>
      <c r="D22" s="4" t="b">
        <v>0</v>
      </c>
      <c r="E22" s="4" t="b">
        <v>0</v>
      </c>
      <c r="F22" s="4" t="b">
        <v>0</v>
      </c>
      <c r="G22" s="11" t="s">
        <v>209</v>
      </c>
      <c r="H22">
        <v>2</v>
      </c>
      <c r="J22" s="20"/>
      <c r="K22" s="20"/>
      <c r="L22" s="20"/>
      <c r="M22" s="20"/>
      <c r="N22" s="20"/>
      <c r="O22" s="20"/>
    </row>
    <row r="23" spans="1:15" x14ac:dyDescent="0.75">
      <c r="B23" s="1" t="s">
        <v>158</v>
      </c>
      <c r="C23" s="4" t="b">
        <v>1</v>
      </c>
      <c r="D23" s="4" t="b">
        <v>0</v>
      </c>
      <c r="E23" s="4" t="b">
        <v>0</v>
      </c>
      <c r="F23" s="4" t="b">
        <v>0</v>
      </c>
      <c r="G23" s="11" t="s">
        <v>209</v>
      </c>
      <c r="H23">
        <v>2</v>
      </c>
      <c r="J23" s="20"/>
      <c r="K23" s="20"/>
      <c r="L23" s="20"/>
      <c r="M23" s="20"/>
      <c r="N23" s="20"/>
      <c r="O23" s="20"/>
    </row>
    <row r="24" spans="1:15" x14ac:dyDescent="0.75">
      <c r="B24" s="1" t="s">
        <v>162</v>
      </c>
      <c r="C24" s="4" t="b">
        <v>0</v>
      </c>
      <c r="D24" s="4" t="b">
        <v>1</v>
      </c>
      <c r="E24" s="4" t="b">
        <v>0</v>
      </c>
      <c r="F24" s="4" t="b">
        <v>0</v>
      </c>
      <c r="G24" s="11" t="s">
        <v>217</v>
      </c>
      <c r="H24">
        <v>2</v>
      </c>
      <c r="J24" s="20"/>
      <c r="K24" s="20"/>
      <c r="L24" s="20"/>
      <c r="M24" s="20"/>
      <c r="N24" s="20"/>
      <c r="O24" s="20"/>
    </row>
    <row r="25" spans="1:15" ht="29.5" x14ac:dyDescent="0.75">
      <c r="B25" s="1" t="s">
        <v>171</v>
      </c>
      <c r="C25" s="4" t="b">
        <v>0</v>
      </c>
      <c r="D25" s="4" t="b">
        <v>0</v>
      </c>
      <c r="E25" s="4" t="b">
        <v>1</v>
      </c>
      <c r="F25" s="4" t="b">
        <v>0</v>
      </c>
      <c r="G25" s="11" t="s">
        <v>242</v>
      </c>
      <c r="H25">
        <v>3</v>
      </c>
      <c r="J25" s="20"/>
      <c r="K25" s="20"/>
      <c r="L25" s="20"/>
      <c r="M25" s="20"/>
      <c r="N25" s="20"/>
      <c r="O25" s="20"/>
    </row>
    <row r="26" spans="1:15" ht="29.5" x14ac:dyDescent="0.75">
      <c r="B26" s="1" t="s">
        <v>177</v>
      </c>
      <c r="C26" s="4" t="b">
        <v>0</v>
      </c>
      <c r="D26" s="4" t="b">
        <v>1</v>
      </c>
      <c r="E26" s="4" t="b">
        <v>0</v>
      </c>
      <c r="F26" s="4" t="b">
        <v>0</v>
      </c>
      <c r="G26" s="11" t="s">
        <v>217</v>
      </c>
      <c r="H26">
        <v>2</v>
      </c>
      <c r="J26" s="20"/>
      <c r="K26" s="20"/>
      <c r="L26" s="20"/>
      <c r="M26" s="20"/>
      <c r="N26" s="20"/>
      <c r="O26" s="20"/>
    </row>
    <row r="27" spans="1:15" x14ac:dyDescent="0.75">
      <c r="A27" t="s">
        <v>256</v>
      </c>
      <c r="B27" s="18" t="s">
        <v>179</v>
      </c>
      <c r="C27" s="4" t="b">
        <v>0</v>
      </c>
      <c r="D27" s="4" t="s">
        <v>245</v>
      </c>
      <c r="E27" s="4" t="b">
        <v>0</v>
      </c>
      <c r="F27" s="4" t="b">
        <v>0</v>
      </c>
      <c r="G27" s="11" t="s">
        <v>217</v>
      </c>
      <c r="H27">
        <v>2</v>
      </c>
      <c r="J27" s="20"/>
      <c r="K27" s="20"/>
      <c r="L27" s="20"/>
      <c r="M27" s="20"/>
      <c r="N27" s="20"/>
      <c r="O27" s="20"/>
    </row>
    <row r="28" spans="1:15" x14ac:dyDescent="0.75">
      <c r="B28" s="1" t="s">
        <v>195</v>
      </c>
      <c r="C28" s="4" t="b">
        <v>0</v>
      </c>
      <c r="D28" s="4" t="b">
        <v>0</v>
      </c>
      <c r="E28" s="4" t="b">
        <v>1</v>
      </c>
      <c r="F28" s="4" t="b">
        <v>0</v>
      </c>
      <c r="G28" s="11" t="s">
        <v>243</v>
      </c>
      <c r="H28">
        <v>3</v>
      </c>
      <c r="J28" s="20"/>
      <c r="K28" s="20"/>
      <c r="L28" s="20"/>
      <c r="M28" s="20"/>
      <c r="N28" s="20"/>
      <c r="O28" s="20"/>
    </row>
    <row r="29" spans="1:15" ht="44.25" x14ac:dyDescent="0.75">
      <c r="B29" s="1" t="s">
        <v>196</v>
      </c>
      <c r="C29" s="4" t="b">
        <v>0</v>
      </c>
      <c r="D29" s="4" t="b">
        <v>0</v>
      </c>
      <c r="E29" s="4" t="b">
        <v>1</v>
      </c>
      <c r="F29" s="4" t="b">
        <v>0</v>
      </c>
      <c r="G29" s="11" t="s">
        <v>210</v>
      </c>
      <c r="H29">
        <v>3</v>
      </c>
      <c r="J29" s="20"/>
      <c r="K29" s="20"/>
      <c r="L29" s="20"/>
      <c r="M29" s="20"/>
      <c r="N29" s="20"/>
      <c r="O29" s="20"/>
    </row>
    <row r="30" spans="1:15" x14ac:dyDescent="0.75">
      <c r="B30" s="1" t="s">
        <v>197</v>
      </c>
      <c r="C30" s="4" t="b">
        <v>1</v>
      </c>
      <c r="D30" s="4" t="b">
        <v>0</v>
      </c>
      <c r="E30" s="4" t="b">
        <v>0</v>
      </c>
      <c r="F30" s="4" t="b">
        <v>0</v>
      </c>
      <c r="G30" s="11" t="s">
        <v>209</v>
      </c>
      <c r="H30">
        <v>3</v>
      </c>
      <c r="J30" s="20"/>
      <c r="K30" s="20"/>
      <c r="L30" s="20"/>
      <c r="M30" s="20"/>
      <c r="N30" s="20"/>
      <c r="O30" s="20"/>
    </row>
    <row r="31" spans="1:15" x14ac:dyDescent="0.75">
      <c r="B31" s="1" t="s">
        <v>198</v>
      </c>
      <c r="C31" s="4" t="b">
        <v>1</v>
      </c>
      <c r="D31" s="4" t="b">
        <v>0</v>
      </c>
      <c r="E31" s="4" t="b">
        <v>0</v>
      </c>
      <c r="F31" s="4" t="b">
        <v>0</v>
      </c>
      <c r="G31" s="11" t="s">
        <v>209</v>
      </c>
      <c r="H31">
        <v>3</v>
      </c>
      <c r="J31" s="20"/>
      <c r="K31" s="20"/>
      <c r="L31" s="20"/>
      <c r="M31" s="20"/>
      <c r="N31" s="20"/>
      <c r="O31" s="20"/>
    </row>
    <row r="32" spans="1:15" x14ac:dyDescent="0.75">
      <c r="G32" s="11"/>
      <c r="J32" s="20"/>
      <c r="K32" s="20"/>
      <c r="L32" s="20"/>
      <c r="M32" s="20"/>
      <c r="N32" s="20"/>
      <c r="O32" s="20"/>
    </row>
    <row r="33" spans="3:15" x14ac:dyDescent="0.75">
      <c r="G33" s="11"/>
      <c r="J33" s="20"/>
      <c r="K33" s="20"/>
      <c r="L33" s="20"/>
      <c r="M33" s="20"/>
      <c r="N33" s="20"/>
      <c r="O33" s="20"/>
    </row>
    <row r="34" spans="3:15" x14ac:dyDescent="0.75">
      <c r="C34">
        <f>COUNTIF(C3:C32, TRUE)</f>
        <v>13</v>
      </c>
      <c r="D34">
        <f t="shared" ref="D34:F34" si="0">COUNTIF(D3:D32, TRUE)</f>
        <v>4</v>
      </c>
      <c r="E34">
        <f t="shared" si="0"/>
        <v>6</v>
      </c>
      <c r="F34">
        <f t="shared" si="0"/>
        <v>1</v>
      </c>
      <c r="G34" s="11">
        <f>SUM(C34:F34)</f>
        <v>24</v>
      </c>
      <c r="J34" s="20"/>
      <c r="K34" s="20"/>
      <c r="L34" s="20"/>
      <c r="M34" s="20"/>
      <c r="N34" s="20"/>
      <c r="O34" s="20"/>
    </row>
    <row r="35" spans="3:15" x14ac:dyDescent="0.75">
      <c r="J35" s="20"/>
      <c r="K35" s="20"/>
      <c r="L35" s="20"/>
      <c r="M35" s="20"/>
      <c r="N35" s="20"/>
      <c r="O35" s="20"/>
    </row>
    <row r="36" spans="3:15" x14ac:dyDescent="0.75">
      <c r="J36" t="s">
        <v>207</v>
      </c>
      <c r="K36" t="s">
        <v>216</v>
      </c>
    </row>
  </sheetData>
  <mergeCells count="1">
    <mergeCell ref="J2:O35"/>
  </mergeCells>
  <conditionalFormatting sqref="H3:H31">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63134-A96B-4C15-BEB8-F7E7DE0F6B60}">
  <dimension ref="A1:P34"/>
  <sheetViews>
    <sheetView topLeftCell="B15" workbookViewId="0">
      <selection activeCell="J25" sqref="J25:L26"/>
    </sheetView>
  </sheetViews>
  <sheetFormatPr defaultRowHeight="14.75" x14ac:dyDescent="0.75"/>
  <cols>
    <col min="2" max="2" width="65.58984375" customWidth="1"/>
    <col min="7" max="7" width="26.90625" customWidth="1"/>
  </cols>
  <sheetData>
    <row r="1" spans="1:16" x14ac:dyDescent="0.75">
      <c r="A1" s="16"/>
      <c r="B1" s="16" t="s">
        <v>6</v>
      </c>
      <c r="C1" s="16"/>
      <c r="D1" s="16"/>
      <c r="E1" s="16"/>
      <c r="F1" s="16"/>
      <c r="G1" s="16" t="s">
        <v>213</v>
      </c>
      <c r="H1" s="16" t="s">
        <v>214</v>
      </c>
    </row>
    <row r="2" spans="1:16" ht="14.75" customHeight="1" x14ac:dyDescent="0.75">
      <c r="A2" s="16" t="s">
        <v>255</v>
      </c>
      <c r="B2" s="16" t="s">
        <v>184</v>
      </c>
      <c r="C2" s="16" t="s">
        <v>254</v>
      </c>
      <c r="D2" s="16" t="s">
        <v>228</v>
      </c>
      <c r="E2" s="16" t="s">
        <v>229</v>
      </c>
      <c r="F2" s="16" t="s">
        <v>230</v>
      </c>
      <c r="G2" s="17"/>
      <c r="H2" s="16"/>
      <c r="J2" s="21" t="s">
        <v>14</v>
      </c>
      <c r="K2" s="21"/>
      <c r="L2" s="21"/>
      <c r="M2" s="21"/>
      <c r="N2" s="21"/>
      <c r="O2" s="21"/>
      <c r="P2" s="21"/>
    </row>
    <row r="3" spans="1:16" x14ac:dyDescent="0.75">
      <c r="B3" s="1" t="s">
        <v>34</v>
      </c>
      <c r="C3" s="4" t="b">
        <v>0</v>
      </c>
      <c r="D3" s="4" t="b">
        <v>0</v>
      </c>
      <c r="E3" s="4" t="b">
        <v>0</v>
      </c>
      <c r="F3" s="4" t="b">
        <v>1</v>
      </c>
      <c r="G3" s="11" t="s">
        <v>246</v>
      </c>
      <c r="H3">
        <v>3</v>
      </c>
      <c r="J3" s="21"/>
      <c r="K3" s="21"/>
      <c r="L3" s="21"/>
      <c r="M3" s="21"/>
      <c r="N3" s="21"/>
      <c r="O3" s="21"/>
      <c r="P3" s="21"/>
    </row>
    <row r="4" spans="1:16" x14ac:dyDescent="0.75">
      <c r="B4" s="1" t="s">
        <v>54</v>
      </c>
      <c r="C4" s="4" t="b">
        <v>1</v>
      </c>
      <c r="D4" s="4" t="b">
        <v>0</v>
      </c>
      <c r="E4" s="4" t="b">
        <v>0</v>
      </c>
      <c r="F4" s="4" t="b">
        <v>0</v>
      </c>
      <c r="G4" s="11" t="s">
        <v>209</v>
      </c>
      <c r="H4">
        <v>3</v>
      </c>
      <c r="J4" s="21"/>
      <c r="K4" s="21"/>
      <c r="L4" s="21"/>
      <c r="M4" s="21"/>
      <c r="N4" s="21"/>
      <c r="O4" s="21"/>
      <c r="P4" s="21"/>
    </row>
    <row r="5" spans="1:16" x14ac:dyDescent="0.75">
      <c r="A5" t="s">
        <v>256</v>
      </c>
      <c r="B5" s="18" t="s">
        <v>65</v>
      </c>
      <c r="C5" s="4" t="s">
        <v>215</v>
      </c>
      <c r="D5" s="4" t="b">
        <v>0</v>
      </c>
      <c r="E5" s="4" t="b">
        <v>0</v>
      </c>
      <c r="F5" s="4" t="b">
        <v>0</v>
      </c>
      <c r="G5" s="11" t="s">
        <v>209</v>
      </c>
      <c r="H5">
        <v>3</v>
      </c>
      <c r="J5" s="21"/>
      <c r="K5" s="21"/>
      <c r="L5" s="21"/>
      <c r="M5" s="21"/>
      <c r="N5" s="21"/>
      <c r="O5" s="21"/>
      <c r="P5" s="21"/>
    </row>
    <row r="6" spans="1:16" x14ac:dyDescent="0.75">
      <c r="B6" s="1" t="s">
        <v>70</v>
      </c>
      <c r="C6" s="4" t="b">
        <v>1</v>
      </c>
      <c r="D6" s="4" t="b">
        <v>0</v>
      </c>
      <c r="E6" s="4" t="b">
        <v>0</v>
      </c>
      <c r="F6" s="4" t="b">
        <v>0</v>
      </c>
      <c r="G6" s="11" t="s">
        <v>209</v>
      </c>
      <c r="H6">
        <v>3</v>
      </c>
      <c r="J6" s="21"/>
      <c r="K6" s="21"/>
      <c r="L6" s="21"/>
      <c r="M6" s="21"/>
      <c r="N6" s="21"/>
      <c r="O6" s="21"/>
      <c r="P6" s="21"/>
    </row>
    <row r="7" spans="1:16" x14ac:dyDescent="0.75">
      <c r="B7" s="1" t="s">
        <v>82</v>
      </c>
      <c r="C7" s="4" t="b">
        <v>1</v>
      </c>
      <c r="D7" s="4" t="b">
        <v>0</v>
      </c>
      <c r="E7" s="4" t="b">
        <v>0</v>
      </c>
      <c r="F7" s="4" t="b">
        <v>0</v>
      </c>
      <c r="G7" s="11" t="s">
        <v>209</v>
      </c>
      <c r="H7">
        <v>3</v>
      </c>
      <c r="J7" s="21"/>
      <c r="K7" s="21"/>
      <c r="L7" s="21"/>
      <c r="M7" s="21"/>
      <c r="N7" s="21"/>
      <c r="O7" s="21"/>
      <c r="P7" s="21"/>
    </row>
    <row r="8" spans="1:16" x14ac:dyDescent="0.75">
      <c r="B8" s="1" t="s">
        <v>86</v>
      </c>
      <c r="C8" s="4" t="b">
        <v>1</v>
      </c>
      <c r="D8" s="4" t="b">
        <v>0</v>
      </c>
      <c r="E8" s="4" t="b">
        <v>0</v>
      </c>
      <c r="F8" s="4" t="b">
        <v>0</v>
      </c>
      <c r="G8" s="11" t="s">
        <v>209</v>
      </c>
      <c r="H8">
        <v>3</v>
      </c>
      <c r="J8" s="21"/>
      <c r="K8" s="21"/>
      <c r="L8" s="21"/>
      <c r="M8" s="21"/>
      <c r="N8" s="21"/>
      <c r="O8" s="21"/>
      <c r="P8" s="21"/>
    </row>
    <row r="9" spans="1:16" ht="29.5" x14ac:dyDescent="0.75">
      <c r="B9" s="1" t="s">
        <v>96</v>
      </c>
      <c r="C9" s="4" t="b">
        <v>1</v>
      </c>
      <c r="D9" s="4" t="b">
        <v>0</v>
      </c>
      <c r="E9" s="4" t="b">
        <v>0</v>
      </c>
      <c r="F9" s="4" t="b">
        <v>0</v>
      </c>
      <c r="G9" s="11" t="s">
        <v>209</v>
      </c>
      <c r="H9">
        <v>3</v>
      </c>
      <c r="J9" s="21"/>
      <c r="K9" s="21"/>
      <c r="L9" s="21"/>
      <c r="M9" s="21"/>
      <c r="N9" s="21"/>
      <c r="O9" s="21"/>
      <c r="P9" s="21"/>
    </row>
    <row r="10" spans="1:16" x14ac:dyDescent="0.75">
      <c r="B10" s="1" t="s">
        <v>106</v>
      </c>
      <c r="C10" s="4" t="b">
        <v>1</v>
      </c>
      <c r="D10" s="4" t="b">
        <v>0</v>
      </c>
      <c r="E10" s="4" t="b">
        <v>0</v>
      </c>
      <c r="F10" s="4" t="b">
        <v>0</v>
      </c>
      <c r="G10" s="11" t="s">
        <v>209</v>
      </c>
      <c r="H10">
        <v>3</v>
      </c>
      <c r="J10" s="21"/>
      <c r="K10" s="21"/>
      <c r="L10" s="21"/>
      <c r="M10" s="21"/>
      <c r="N10" s="21"/>
      <c r="O10" s="21"/>
      <c r="P10" s="21"/>
    </row>
    <row r="11" spans="1:16" x14ac:dyDescent="0.75">
      <c r="B11" s="1" t="s">
        <v>108</v>
      </c>
      <c r="C11" s="4" t="b">
        <v>1</v>
      </c>
      <c r="D11" s="4" t="b">
        <v>0</v>
      </c>
      <c r="E11" s="4" t="b">
        <v>0</v>
      </c>
      <c r="F11" s="4" t="b">
        <v>0</v>
      </c>
      <c r="G11" s="11" t="s">
        <v>209</v>
      </c>
      <c r="H11">
        <v>3</v>
      </c>
      <c r="J11" s="21"/>
      <c r="K11" s="21"/>
      <c r="L11" s="21"/>
      <c r="M11" s="21"/>
      <c r="N11" s="21"/>
      <c r="O11" s="21"/>
      <c r="P11" s="21"/>
    </row>
    <row r="12" spans="1:16" x14ac:dyDescent="0.75">
      <c r="B12" s="1" t="s">
        <v>110</v>
      </c>
      <c r="C12" s="4" t="b">
        <v>0</v>
      </c>
      <c r="D12" s="4" t="b">
        <v>1</v>
      </c>
      <c r="E12" s="4" t="b">
        <v>0</v>
      </c>
      <c r="F12" s="4" t="b">
        <v>0</v>
      </c>
      <c r="G12" s="11" t="s">
        <v>219</v>
      </c>
      <c r="H12">
        <v>2</v>
      </c>
      <c r="J12" s="21"/>
      <c r="K12" s="21"/>
      <c r="L12" s="21"/>
      <c r="M12" s="21"/>
      <c r="N12" s="21"/>
      <c r="O12" s="21"/>
      <c r="P12" s="21"/>
    </row>
    <row r="13" spans="1:16" x14ac:dyDescent="0.75">
      <c r="B13" s="1" t="s">
        <v>111</v>
      </c>
      <c r="C13" s="4" t="b">
        <v>0</v>
      </c>
      <c r="D13" s="4" t="b">
        <v>0</v>
      </c>
      <c r="E13" s="4" t="b">
        <v>1</v>
      </c>
      <c r="F13" s="4" t="b">
        <v>0</v>
      </c>
      <c r="G13" s="11" t="s">
        <v>220</v>
      </c>
      <c r="H13">
        <v>2</v>
      </c>
      <c r="J13" s="21"/>
      <c r="K13" s="21"/>
      <c r="L13" s="21"/>
      <c r="M13" s="21"/>
      <c r="N13" s="21"/>
      <c r="O13" s="21"/>
      <c r="P13" s="21"/>
    </row>
    <row r="14" spans="1:16" x14ac:dyDescent="0.75">
      <c r="B14" s="1" t="s">
        <v>118</v>
      </c>
      <c r="C14" s="4" t="b">
        <v>0</v>
      </c>
      <c r="D14" s="4" t="b">
        <v>0</v>
      </c>
      <c r="E14" s="4" t="b">
        <v>1</v>
      </c>
      <c r="F14" s="4" t="b">
        <v>0</v>
      </c>
      <c r="G14" s="11" t="s">
        <v>221</v>
      </c>
      <c r="H14">
        <v>2</v>
      </c>
      <c r="J14" s="21"/>
      <c r="K14" s="21"/>
      <c r="L14" s="21"/>
      <c r="M14" s="21"/>
      <c r="N14" s="21"/>
      <c r="O14" s="21"/>
      <c r="P14" s="21"/>
    </row>
    <row r="15" spans="1:16" x14ac:dyDescent="0.75">
      <c r="B15" s="1" t="s">
        <v>121</v>
      </c>
      <c r="C15" s="4" t="b">
        <v>1</v>
      </c>
      <c r="D15" s="4" t="b">
        <v>0</v>
      </c>
      <c r="E15" s="4" t="b">
        <v>0</v>
      </c>
      <c r="F15" s="4" t="b">
        <v>0</v>
      </c>
      <c r="G15" s="11" t="s">
        <v>209</v>
      </c>
      <c r="H15">
        <v>2</v>
      </c>
      <c r="J15" s="21"/>
      <c r="K15" s="21"/>
      <c r="L15" s="21"/>
      <c r="M15" s="21"/>
      <c r="N15" s="21"/>
      <c r="O15" s="21"/>
      <c r="P15" s="21"/>
    </row>
    <row r="16" spans="1:16" ht="29.5" x14ac:dyDescent="0.75">
      <c r="B16" s="1" t="s">
        <v>123</v>
      </c>
      <c r="C16" s="4" t="b">
        <v>1</v>
      </c>
      <c r="D16" s="4" t="b">
        <v>0</v>
      </c>
      <c r="E16" s="4" t="b">
        <v>0</v>
      </c>
      <c r="F16" s="4" t="b">
        <v>0</v>
      </c>
      <c r="G16" s="11" t="s">
        <v>209</v>
      </c>
      <c r="H16">
        <v>3</v>
      </c>
      <c r="J16" s="21"/>
      <c r="K16" s="21"/>
      <c r="L16" s="21"/>
      <c r="M16" s="21"/>
      <c r="N16" s="21"/>
      <c r="O16" s="21"/>
      <c r="P16" s="21"/>
    </row>
    <row r="17" spans="1:16" x14ac:dyDescent="0.75">
      <c r="B17" s="1" t="s">
        <v>126</v>
      </c>
      <c r="C17" s="4" t="b">
        <v>0</v>
      </c>
      <c r="D17" s="4" t="b">
        <v>1</v>
      </c>
      <c r="E17" s="4" t="b">
        <v>0</v>
      </c>
      <c r="F17" s="4" t="b">
        <v>0</v>
      </c>
      <c r="G17" s="11" t="s">
        <v>222</v>
      </c>
      <c r="H17">
        <v>2</v>
      </c>
      <c r="J17" s="21"/>
      <c r="K17" s="21"/>
      <c r="L17" s="21"/>
      <c r="M17" s="21"/>
      <c r="N17" s="21"/>
      <c r="O17" s="21"/>
      <c r="P17" s="21"/>
    </row>
    <row r="18" spans="1:16" x14ac:dyDescent="0.75">
      <c r="B18" s="1" t="s">
        <v>134</v>
      </c>
      <c r="C18" s="4" t="b">
        <v>1</v>
      </c>
      <c r="D18" s="4" t="b">
        <v>0</v>
      </c>
      <c r="E18" s="4" t="b">
        <v>0</v>
      </c>
      <c r="F18" s="4" t="b">
        <v>0</v>
      </c>
      <c r="G18" s="11" t="s">
        <v>209</v>
      </c>
      <c r="H18">
        <v>3</v>
      </c>
      <c r="J18" s="21"/>
      <c r="K18" s="21"/>
      <c r="L18" s="21"/>
      <c r="M18" s="21"/>
      <c r="N18" s="21"/>
      <c r="O18" s="21"/>
      <c r="P18" s="21"/>
    </row>
    <row r="19" spans="1:16" x14ac:dyDescent="0.75">
      <c r="B19" s="1" t="s">
        <v>147</v>
      </c>
      <c r="C19" s="4" t="b">
        <v>1</v>
      </c>
      <c r="D19" s="4" t="b">
        <v>0</v>
      </c>
      <c r="E19" s="4" t="b">
        <v>0</v>
      </c>
      <c r="F19" s="4" t="b">
        <v>0</v>
      </c>
      <c r="G19" s="11" t="s">
        <v>209</v>
      </c>
      <c r="H19">
        <v>3</v>
      </c>
      <c r="J19" s="21"/>
      <c r="K19" s="21"/>
      <c r="L19" s="21"/>
      <c r="M19" s="21"/>
      <c r="N19" s="21"/>
      <c r="O19" s="21"/>
      <c r="P19" s="21"/>
    </row>
    <row r="20" spans="1:16" x14ac:dyDescent="0.75">
      <c r="B20" s="1" t="s">
        <v>148</v>
      </c>
      <c r="C20" s="4" t="b">
        <v>1</v>
      </c>
      <c r="D20" s="4" t="b">
        <v>0</v>
      </c>
      <c r="E20" s="4" t="b">
        <v>0</v>
      </c>
      <c r="F20" s="4" t="b">
        <v>0</v>
      </c>
      <c r="G20" s="11" t="s">
        <v>209</v>
      </c>
      <c r="H20">
        <v>3</v>
      </c>
      <c r="J20" s="21"/>
      <c r="K20" s="21"/>
      <c r="L20" s="21"/>
      <c r="M20" s="21"/>
      <c r="N20" s="21"/>
      <c r="O20" s="21"/>
      <c r="P20" s="21"/>
    </row>
    <row r="21" spans="1:16" ht="29.5" x14ac:dyDescent="0.75">
      <c r="B21" s="1" t="s">
        <v>150</v>
      </c>
      <c r="C21" s="4" t="b">
        <v>1</v>
      </c>
      <c r="D21" s="4" t="b">
        <v>0</v>
      </c>
      <c r="E21" s="4" t="b">
        <v>0</v>
      </c>
      <c r="F21" s="4" t="b">
        <v>0</v>
      </c>
      <c r="G21" s="11" t="s">
        <v>223</v>
      </c>
      <c r="H21">
        <v>3</v>
      </c>
      <c r="J21" s="21"/>
      <c r="K21" s="21"/>
      <c r="L21" s="21"/>
      <c r="M21" s="21"/>
      <c r="N21" s="21"/>
      <c r="O21" s="21"/>
      <c r="P21" s="21"/>
    </row>
    <row r="22" spans="1:16" x14ac:dyDescent="0.75">
      <c r="A22" t="s">
        <v>256</v>
      </c>
      <c r="B22" s="18" t="s">
        <v>153</v>
      </c>
      <c r="C22" s="4" t="s">
        <v>239</v>
      </c>
      <c r="D22" s="4" t="b">
        <v>0</v>
      </c>
      <c r="E22" s="4" t="b">
        <v>0</v>
      </c>
      <c r="F22" s="4" t="b">
        <v>0</v>
      </c>
      <c r="G22" s="11" t="s">
        <v>209</v>
      </c>
      <c r="H22">
        <v>3</v>
      </c>
      <c r="J22" s="21"/>
      <c r="K22" s="21"/>
      <c r="L22" s="21"/>
      <c r="M22" s="21"/>
      <c r="N22" s="21"/>
      <c r="O22" s="21"/>
      <c r="P22" s="21"/>
    </row>
    <row r="23" spans="1:16" ht="29.5" x14ac:dyDescent="0.75">
      <c r="B23" s="1" t="s">
        <v>157</v>
      </c>
      <c r="C23" s="4" t="b">
        <v>0</v>
      </c>
      <c r="D23" s="4" t="b">
        <v>0</v>
      </c>
      <c r="E23" s="4" t="b">
        <v>0</v>
      </c>
      <c r="F23" s="4" t="b">
        <v>1</v>
      </c>
      <c r="G23" s="11" t="s">
        <v>247</v>
      </c>
      <c r="H23">
        <v>3</v>
      </c>
      <c r="J23" s="21"/>
      <c r="K23" s="21"/>
      <c r="L23" s="21"/>
      <c r="M23" s="21"/>
      <c r="N23" s="21"/>
      <c r="O23" s="21"/>
      <c r="P23" s="21"/>
    </row>
    <row r="24" spans="1:16" ht="29.5" x14ac:dyDescent="0.75">
      <c r="B24" s="1" t="s">
        <v>166</v>
      </c>
      <c r="C24" s="4" t="b">
        <v>1</v>
      </c>
      <c r="D24" s="4" t="b">
        <v>0</v>
      </c>
      <c r="E24" s="4" t="b">
        <v>0</v>
      </c>
      <c r="F24" s="4" t="b">
        <v>0</v>
      </c>
      <c r="G24" s="11" t="s">
        <v>209</v>
      </c>
      <c r="H24">
        <v>3</v>
      </c>
      <c r="J24" t="s">
        <v>207</v>
      </c>
      <c r="K24" t="s">
        <v>218</v>
      </c>
    </row>
    <row r="25" spans="1:16" ht="29.5" x14ac:dyDescent="0.75">
      <c r="B25" s="1" t="s">
        <v>169</v>
      </c>
      <c r="C25" s="4" t="b">
        <v>0</v>
      </c>
      <c r="D25" s="4" t="b">
        <v>1</v>
      </c>
      <c r="E25" s="4" t="b">
        <v>0</v>
      </c>
      <c r="F25" s="4" t="b">
        <v>0</v>
      </c>
      <c r="G25" s="11" t="s">
        <v>224</v>
      </c>
      <c r="H25">
        <v>2</v>
      </c>
    </row>
    <row r="26" spans="1:16" x14ac:dyDescent="0.75">
      <c r="B26" s="1" t="s">
        <v>178</v>
      </c>
      <c r="C26" s="4" t="b">
        <v>1</v>
      </c>
      <c r="D26" s="4" t="b">
        <v>0</v>
      </c>
      <c r="E26" s="4" t="b">
        <v>0</v>
      </c>
      <c r="F26" s="4" t="b">
        <v>0</v>
      </c>
      <c r="G26" s="11" t="s">
        <v>209</v>
      </c>
      <c r="H26">
        <v>3</v>
      </c>
    </row>
    <row r="27" spans="1:16" x14ac:dyDescent="0.75">
      <c r="B27" s="1" t="s">
        <v>180</v>
      </c>
      <c r="C27" s="4" t="b">
        <v>1</v>
      </c>
      <c r="D27" s="4" t="b">
        <v>0</v>
      </c>
      <c r="E27" s="4" t="b">
        <v>0</v>
      </c>
      <c r="F27" s="4" t="b">
        <v>0</v>
      </c>
      <c r="G27" s="11" t="s">
        <v>209</v>
      </c>
      <c r="H27">
        <v>3</v>
      </c>
    </row>
    <row r="28" spans="1:16" x14ac:dyDescent="0.75">
      <c r="B28" s="1" t="s">
        <v>194</v>
      </c>
      <c r="C28" s="4" t="b">
        <v>0</v>
      </c>
      <c r="D28" s="4" t="b">
        <v>1</v>
      </c>
      <c r="E28" s="4" t="b">
        <v>0</v>
      </c>
      <c r="F28" s="4" t="b">
        <v>0</v>
      </c>
      <c r="G28" s="11" t="s">
        <v>225</v>
      </c>
      <c r="H28">
        <v>2</v>
      </c>
    </row>
    <row r="29" spans="1:16" x14ac:dyDescent="0.75">
      <c r="G29" s="11"/>
    </row>
    <row r="30" spans="1:16" x14ac:dyDescent="0.75">
      <c r="G30" s="11"/>
    </row>
    <row r="31" spans="1:16" x14ac:dyDescent="0.75">
      <c r="G31" s="11"/>
    </row>
    <row r="32" spans="1:16" x14ac:dyDescent="0.75">
      <c r="G32" s="11"/>
    </row>
    <row r="33" spans="3:7" x14ac:dyDescent="0.75">
      <c r="G33" s="11"/>
    </row>
    <row r="34" spans="3:7" x14ac:dyDescent="0.75">
      <c r="C34">
        <f>COUNTIF(C3:C32, TRUE)</f>
        <v>16</v>
      </c>
      <c r="D34">
        <f t="shared" ref="D34:F34" si="0">COUNTIF(D3:D32, TRUE)</f>
        <v>4</v>
      </c>
      <c r="E34">
        <f t="shared" si="0"/>
        <v>2</v>
      </c>
      <c r="F34">
        <f t="shared" si="0"/>
        <v>2</v>
      </c>
      <c r="G34" s="11">
        <f>SUM(C34:F34)</f>
        <v>24</v>
      </c>
    </row>
  </sheetData>
  <mergeCells count="1">
    <mergeCell ref="J2:P23"/>
  </mergeCells>
  <conditionalFormatting sqref="H3:H28">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68BD-21D8-41AB-84B3-6B152F06DB37}">
  <dimension ref="A1:P34"/>
  <sheetViews>
    <sheetView topLeftCell="B27" workbookViewId="0">
      <selection activeCell="L31" sqref="L31"/>
    </sheetView>
  </sheetViews>
  <sheetFormatPr defaultRowHeight="14.75" x14ac:dyDescent="0.75"/>
  <cols>
    <col min="2" max="2" width="74.453125" customWidth="1"/>
    <col min="7" max="7" width="23.953125" customWidth="1"/>
  </cols>
  <sheetData>
    <row r="1" spans="1:16" x14ac:dyDescent="0.75">
      <c r="A1" s="16"/>
      <c r="B1" s="16" t="s">
        <v>7</v>
      </c>
      <c r="C1" s="16"/>
      <c r="D1" s="16"/>
      <c r="E1" s="16"/>
      <c r="F1" s="16"/>
      <c r="G1" s="16" t="s">
        <v>213</v>
      </c>
      <c r="H1" s="16" t="s">
        <v>214</v>
      </c>
    </row>
    <row r="2" spans="1:16" x14ac:dyDescent="0.75">
      <c r="A2" s="16" t="s">
        <v>255</v>
      </c>
      <c r="B2" s="16" t="s">
        <v>185</v>
      </c>
      <c r="C2" s="16" t="s">
        <v>254</v>
      </c>
      <c r="D2" s="16" t="s">
        <v>228</v>
      </c>
      <c r="E2" s="16" t="s">
        <v>229</v>
      </c>
      <c r="F2" s="16" t="s">
        <v>230</v>
      </c>
      <c r="G2" s="17"/>
      <c r="H2" s="16"/>
      <c r="J2" s="21" t="s">
        <v>15</v>
      </c>
      <c r="K2" s="21"/>
      <c r="L2" s="21"/>
      <c r="M2" s="21"/>
      <c r="N2" s="21"/>
      <c r="O2" s="21"/>
      <c r="P2" s="21"/>
    </row>
    <row r="3" spans="1:16" x14ac:dyDescent="0.75">
      <c r="B3" s="1" t="s">
        <v>32</v>
      </c>
      <c r="C3" s="4" t="b">
        <v>1</v>
      </c>
      <c r="D3" s="4" t="b">
        <v>0</v>
      </c>
      <c r="E3" s="4" t="b">
        <v>0</v>
      </c>
      <c r="F3" s="4" t="b">
        <v>0</v>
      </c>
      <c r="G3" s="11" t="s">
        <v>209</v>
      </c>
      <c r="H3">
        <v>3</v>
      </c>
      <c r="J3" s="21"/>
      <c r="K3" s="21"/>
      <c r="L3" s="21"/>
      <c r="M3" s="21"/>
      <c r="N3" s="21"/>
      <c r="O3" s="21"/>
      <c r="P3" s="21"/>
    </row>
    <row r="4" spans="1:16" ht="29.5" x14ac:dyDescent="0.75">
      <c r="B4" s="1" t="s">
        <v>38</v>
      </c>
      <c r="C4" s="4" t="b">
        <v>0</v>
      </c>
      <c r="D4" s="4" t="b">
        <v>0</v>
      </c>
      <c r="E4" s="4" t="b">
        <v>1</v>
      </c>
      <c r="F4" s="4" t="b">
        <v>0</v>
      </c>
      <c r="G4" s="11" t="s">
        <v>248</v>
      </c>
      <c r="H4">
        <v>2</v>
      </c>
      <c r="J4" s="21"/>
      <c r="K4" s="21"/>
      <c r="L4" s="21"/>
      <c r="M4" s="21"/>
      <c r="N4" s="21"/>
      <c r="O4" s="21"/>
      <c r="P4" s="21"/>
    </row>
    <row r="5" spans="1:16" ht="29.5" x14ac:dyDescent="0.75">
      <c r="B5" s="1" t="s">
        <v>49</v>
      </c>
      <c r="C5" s="4" t="b">
        <v>0</v>
      </c>
      <c r="D5" s="4" t="b">
        <v>1</v>
      </c>
      <c r="E5" s="4" t="b">
        <v>0</v>
      </c>
      <c r="F5" s="4" t="b">
        <v>0</v>
      </c>
      <c r="G5" s="11" t="s">
        <v>249</v>
      </c>
      <c r="H5">
        <v>2</v>
      </c>
      <c r="J5" s="21"/>
      <c r="K5" s="21"/>
      <c r="L5" s="21"/>
      <c r="M5" s="21"/>
      <c r="N5" s="21"/>
      <c r="O5" s="21"/>
      <c r="P5" s="21"/>
    </row>
    <row r="6" spans="1:16" x14ac:dyDescent="0.75">
      <c r="B6" s="1" t="s">
        <v>51</v>
      </c>
      <c r="C6" s="4" t="b">
        <v>1</v>
      </c>
      <c r="D6" s="4" t="b">
        <v>0</v>
      </c>
      <c r="E6" s="4" t="b">
        <v>0</v>
      </c>
      <c r="F6" s="4" t="b">
        <v>0</v>
      </c>
      <c r="G6" s="11" t="s">
        <v>209</v>
      </c>
      <c r="H6">
        <v>3</v>
      </c>
      <c r="J6" s="21"/>
      <c r="K6" s="21"/>
      <c r="L6" s="21"/>
      <c r="M6" s="21"/>
      <c r="N6" s="21"/>
      <c r="O6" s="21"/>
      <c r="P6" s="21"/>
    </row>
    <row r="7" spans="1:16" x14ac:dyDescent="0.75">
      <c r="B7" s="1" t="s">
        <v>52</v>
      </c>
      <c r="C7" s="4" t="b">
        <v>1</v>
      </c>
      <c r="D7" s="4" t="b">
        <v>0</v>
      </c>
      <c r="E7" s="4" t="b">
        <v>0</v>
      </c>
      <c r="F7" s="4" t="b">
        <v>0</v>
      </c>
      <c r="G7" s="11" t="s">
        <v>209</v>
      </c>
      <c r="H7">
        <v>3</v>
      </c>
      <c r="J7" s="21"/>
      <c r="K7" s="21"/>
      <c r="L7" s="21"/>
      <c r="M7" s="21"/>
      <c r="N7" s="21"/>
      <c r="O7" s="21"/>
      <c r="P7" s="21"/>
    </row>
    <row r="8" spans="1:16" x14ac:dyDescent="0.75">
      <c r="B8" s="1" t="s">
        <v>59</v>
      </c>
      <c r="C8" s="4" t="b">
        <v>1</v>
      </c>
      <c r="D8" s="4" t="b">
        <v>0</v>
      </c>
      <c r="E8" s="4" t="b">
        <v>0</v>
      </c>
      <c r="F8" s="4" t="b">
        <v>0</v>
      </c>
      <c r="G8" s="11" t="s">
        <v>209</v>
      </c>
      <c r="H8">
        <v>3</v>
      </c>
      <c r="J8" s="21"/>
      <c r="K8" s="21"/>
      <c r="L8" s="21"/>
      <c r="M8" s="21"/>
      <c r="N8" s="21"/>
      <c r="O8" s="21"/>
      <c r="P8" s="21"/>
    </row>
    <row r="9" spans="1:16" x14ac:dyDescent="0.75">
      <c r="B9" s="1" t="s">
        <v>79</v>
      </c>
      <c r="C9" s="4" t="b">
        <v>1</v>
      </c>
      <c r="D9" s="4" t="b">
        <v>0</v>
      </c>
      <c r="E9" s="4" t="b">
        <v>0</v>
      </c>
      <c r="F9" s="4" t="b">
        <v>0</v>
      </c>
      <c r="G9" s="11" t="s">
        <v>209</v>
      </c>
      <c r="H9">
        <v>3</v>
      </c>
      <c r="J9" s="21"/>
      <c r="K9" s="21"/>
      <c r="L9" s="21"/>
      <c r="M9" s="21"/>
      <c r="N9" s="21"/>
      <c r="O9" s="21"/>
      <c r="P9" s="21"/>
    </row>
    <row r="10" spans="1:16" x14ac:dyDescent="0.75">
      <c r="B10" s="1" t="s">
        <v>83</v>
      </c>
      <c r="C10" s="4" t="b">
        <v>1</v>
      </c>
      <c r="D10" s="4" t="b">
        <v>0</v>
      </c>
      <c r="E10" s="4" t="b">
        <v>0</v>
      </c>
      <c r="F10" s="4" t="b">
        <v>0</v>
      </c>
      <c r="G10" s="11" t="s">
        <v>209</v>
      </c>
      <c r="H10">
        <v>3</v>
      </c>
      <c r="J10" s="21"/>
      <c r="K10" s="21"/>
      <c r="L10" s="21"/>
      <c r="M10" s="21"/>
      <c r="N10" s="21"/>
      <c r="O10" s="21"/>
      <c r="P10" s="21"/>
    </row>
    <row r="11" spans="1:16" x14ac:dyDescent="0.75">
      <c r="B11" s="1" t="s">
        <v>87</v>
      </c>
      <c r="C11" s="4" t="b">
        <v>1</v>
      </c>
      <c r="D11" s="4" t="b">
        <v>0</v>
      </c>
      <c r="E11" s="4" t="b">
        <v>0</v>
      </c>
      <c r="F11" s="4" t="b">
        <v>0</v>
      </c>
      <c r="G11" s="11" t="s">
        <v>209</v>
      </c>
      <c r="H11">
        <v>3</v>
      </c>
      <c r="J11" s="21"/>
      <c r="K11" s="21"/>
      <c r="L11" s="21"/>
      <c r="M11" s="21"/>
      <c r="N11" s="21"/>
      <c r="O11" s="21"/>
      <c r="P11" s="21"/>
    </row>
    <row r="12" spans="1:16" x14ac:dyDescent="0.75">
      <c r="A12" t="s">
        <v>256</v>
      </c>
      <c r="B12" s="3" t="s">
        <v>93</v>
      </c>
      <c r="C12" s="4" t="b">
        <v>0</v>
      </c>
      <c r="D12" s="4" t="b">
        <v>0</v>
      </c>
      <c r="E12" s="4" t="b">
        <v>0</v>
      </c>
      <c r="F12" s="4" t="b">
        <v>0</v>
      </c>
      <c r="G12" s="11"/>
      <c r="J12" s="21"/>
      <c r="K12" s="21"/>
      <c r="L12" s="21"/>
      <c r="M12" s="21"/>
      <c r="N12" s="21"/>
      <c r="O12" s="21"/>
      <c r="P12" s="21"/>
    </row>
    <row r="13" spans="1:16" x14ac:dyDescent="0.75">
      <c r="A13" t="s">
        <v>256</v>
      </c>
      <c r="B13" s="3" t="s">
        <v>95</v>
      </c>
      <c r="C13" s="4" t="b">
        <v>0</v>
      </c>
      <c r="D13" s="4" t="b">
        <v>0</v>
      </c>
      <c r="E13" s="4" t="b">
        <v>0</v>
      </c>
      <c r="F13" s="4" t="b">
        <v>0</v>
      </c>
      <c r="G13" s="11"/>
      <c r="J13" s="21"/>
      <c r="K13" s="21"/>
      <c r="L13" s="21"/>
      <c r="M13" s="21"/>
      <c r="N13" s="21"/>
      <c r="O13" s="21"/>
      <c r="P13" s="21"/>
    </row>
    <row r="14" spans="1:16" ht="29.5" x14ac:dyDescent="0.75">
      <c r="B14" s="1" t="s">
        <v>99</v>
      </c>
      <c r="C14" s="4" t="b">
        <v>0</v>
      </c>
      <c r="D14" s="4" t="b">
        <v>0</v>
      </c>
      <c r="E14" s="4" t="b">
        <v>1</v>
      </c>
      <c r="F14" s="4" t="b">
        <v>0</v>
      </c>
      <c r="G14" s="11" t="s">
        <v>227</v>
      </c>
      <c r="H14">
        <v>3</v>
      </c>
      <c r="J14" s="21"/>
      <c r="K14" s="21"/>
      <c r="L14" s="21"/>
      <c r="M14" s="21"/>
      <c r="N14" s="21"/>
      <c r="O14" s="21"/>
      <c r="P14" s="21"/>
    </row>
    <row r="15" spans="1:16" x14ac:dyDescent="0.75">
      <c r="B15" s="1" t="s">
        <v>116</v>
      </c>
      <c r="C15" s="4" t="b">
        <v>0</v>
      </c>
      <c r="D15" s="4" t="b">
        <v>1</v>
      </c>
      <c r="E15" s="4" t="b">
        <v>0</v>
      </c>
      <c r="F15" s="4" t="b">
        <v>0</v>
      </c>
      <c r="G15" s="11" t="s">
        <v>250</v>
      </c>
      <c r="H15">
        <v>2</v>
      </c>
      <c r="J15" s="21"/>
      <c r="K15" s="21"/>
      <c r="L15" s="21"/>
      <c r="M15" s="21"/>
      <c r="N15" s="21"/>
      <c r="O15" s="21"/>
      <c r="P15" s="21"/>
    </row>
    <row r="16" spans="1:16" x14ac:dyDescent="0.75">
      <c r="B16" s="1" t="s">
        <v>120</v>
      </c>
      <c r="C16" s="4" t="b">
        <v>1</v>
      </c>
      <c r="D16" s="4" t="b">
        <v>0</v>
      </c>
      <c r="E16" s="4" t="b">
        <v>0</v>
      </c>
      <c r="F16" s="4" t="b">
        <v>0</v>
      </c>
      <c r="G16" s="11" t="s">
        <v>209</v>
      </c>
      <c r="H16">
        <v>3</v>
      </c>
      <c r="J16" s="21"/>
      <c r="K16" s="21"/>
      <c r="L16" s="21"/>
      <c r="M16" s="21"/>
      <c r="N16" s="21"/>
      <c r="O16" s="21"/>
      <c r="P16" s="21"/>
    </row>
    <row r="17" spans="2:16" x14ac:dyDescent="0.75">
      <c r="B17" s="1" t="s">
        <v>132</v>
      </c>
      <c r="C17" s="4" t="b">
        <v>1</v>
      </c>
      <c r="D17" s="4" t="b">
        <v>0</v>
      </c>
      <c r="E17" s="4" t="b">
        <v>0</v>
      </c>
      <c r="F17" s="4" t="b">
        <v>0</v>
      </c>
      <c r="G17" s="11" t="s">
        <v>209</v>
      </c>
      <c r="H17">
        <v>3</v>
      </c>
      <c r="J17" s="21"/>
      <c r="K17" s="21"/>
      <c r="L17" s="21"/>
      <c r="M17" s="21"/>
      <c r="N17" s="21"/>
      <c r="O17" s="21"/>
      <c r="P17" s="21"/>
    </row>
    <row r="18" spans="2:16" ht="29.5" x14ac:dyDescent="0.75">
      <c r="B18" s="1" t="s">
        <v>138</v>
      </c>
      <c r="C18" s="4" t="b">
        <v>0</v>
      </c>
      <c r="D18" s="4" t="b">
        <v>0</v>
      </c>
      <c r="E18" s="4" t="b">
        <v>1</v>
      </c>
      <c r="F18" s="4" t="b">
        <v>0</v>
      </c>
      <c r="G18" s="11" t="s">
        <v>251</v>
      </c>
      <c r="H18">
        <v>3</v>
      </c>
      <c r="J18" s="21"/>
      <c r="K18" s="21"/>
      <c r="L18" s="21"/>
      <c r="M18" s="21"/>
      <c r="N18" s="21"/>
      <c r="O18" s="21"/>
      <c r="P18" s="21"/>
    </row>
    <row r="19" spans="2:16" x14ac:dyDescent="0.75">
      <c r="B19" s="1" t="s">
        <v>139</v>
      </c>
      <c r="C19" s="4" t="b">
        <v>1</v>
      </c>
      <c r="D19" s="4" t="b">
        <v>0</v>
      </c>
      <c r="E19" s="4" t="b">
        <v>0</v>
      </c>
      <c r="F19" s="4" t="b">
        <v>0</v>
      </c>
      <c r="G19" s="11" t="s">
        <v>209</v>
      </c>
      <c r="H19">
        <v>3</v>
      </c>
      <c r="J19" s="21"/>
      <c r="K19" s="21"/>
      <c r="L19" s="21"/>
      <c r="M19" s="21"/>
      <c r="N19" s="21"/>
      <c r="O19" s="21"/>
      <c r="P19" s="21"/>
    </row>
    <row r="20" spans="2:16" x14ac:dyDescent="0.75">
      <c r="B20" s="1" t="s">
        <v>143</v>
      </c>
      <c r="C20" s="4" t="b">
        <v>1</v>
      </c>
      <c r="D20" s="4" t="b">
        <v>0</v>
      </c>
      <c r="E20" s="4" t="b">
        <v>0</v>
      </c>
      <c r="F20" s="4" t="b">
        <v>0</v>
      </c>
      <c r="G20" s="11" t="s">
        <v>209</v>
      </c>
      <c r="H20">
        <v>3</v>
      </c>
      <c r="J20" s="21"/>
      <c r="K20" s="21"/>
      <c r="L20" s="21"/>
      <c r="M20" s="21"/>
      <c r="N20" s="21"/>
      <c r="O20" s="21"/>
      <c r="P20" s="21"/>
    </row>
    <row r="21" spans="2:16" x14ac:dyDescent="0.75">
      <c r="B21" s="1" t="s">
        <v>144</v>
      </c>
      <c r="C21" s="4" t="b">
        <v>1</v>
      </c>
      <c r="D21" s="4" t="b">
        <v>0</v>
      </c>
      <c r="E21" s="4" t="b">
        <v>0</v>
      </c>
      <c r="F21" s="4" t="b">
        <v>0</v>
      </c>
      <c r="G21" s="11" t="s">
        <v>209</v>
      </c>
      <c r="H21">
        <v>3</v>
      </c>
      <c r="J21" s="21"/>
      <c r="K21" s="21"/>
      <c r="L21" s="21"/>
      <c r="M21" s="21"/>
      <c r="N21" s="21"/>
      <c r="O21" s="21"/>
      <c r="P21" s="21"/>
    </row>
    <row r="22" spans="2:16" x14ac:dyDescent="0.75">
      <c r="B22" s="1" t="s">
        <v>149</v>
      </c>
      <c r="C22" s="4" t="b">
        <v>1</v>
      </c>
      <c r="D22" s="4" t="b">
        <v>0</v>
      </c>
      <c r="E22" s="4" t="b">
        <v>0</v>
      </c>
      <c r="F22" s="4" t="b">
        <v>0</v>
      </c>
      <c r="G22" s="11" t="s">
        <v>209</v>
      </c>
      <c r="H22">
        <v>3</v>
      </c>
      <c r="J22" s="21"/>
      <c r="K22" s="21"/>
      <c r="L22" s="21"/>
      <c r="M22" s="21"/>
      <c r="N22" s="21"/>
      <c r="O22" s="21"/>
      <c r="P22" s="21"/>
    </row>
    <row r="23" spans="2:16" ht="29.5" x14ac:dyDescent="0.75">
      <c r="B23" s="1" t="s">
        <v>164</v>
      </c>
      <c r="C23" s="4" t="b">
        <v>0</v>
      </c>
      <c r="D23" s="4" t="b">
        <v>0</v>
      </c>
      <c r="E23" s="4" t="b">
        <v>1</v>
      </c>
      <c r="F23" s="4" t="b">
        <v>0</v>
      </c>
      <c r="G23" s="11" t="s">
        <v>252</v>
      </c>
      <c r="H23">
        <v>3</v>
      </c>
      <c r="J23" s="21"/>
      <c r="K23" s="21"/>
      <c r="L23" s="21"/>
      <c r="M23" s="21"/>
      <c r="N23" s="21"/>
      <c r="O23" s="21"/>
      <c r="P23" s="21"/>
    </row>
    <row r="24" spans="2:16" x14ac:dyDescent="0.75">
      <c r="B24" s="1" t="s">
        <v>165</v>
      </c>
      <c r="C24" s="4" t="b">
        <v>0</v>
      </c>
      <c r="D24" s="4" t="b">
        <v>0</v>
      </c>
      <c r="E24" s="4" t="b">
        <v>1</v>
      </c>
      <c r="F24" s="4" t="b">
        <v>0</v>
      </c>
      <c r="G24" s="11" t="s">
        <v>210</v>
      </c>
      <c r="H24">
        <v>2</v>
      </c>
      <c r="J24" t="s">
        <v>207</v>
      </c>
      <c r="K24" t="s">
        <v>226</v>
      </c>
    </row>
    <row r="25" spans="2:16" x14ac:dyDescent="0.75">
      <c r="B25" s="1" t="s">
        <v>167</v>
      </c>
      <c r="C25" s="4" t="b">
        <v>1</v>
      </c>
      <c r="D25" s="4" t="b">
        <v>0</v>
      </c>
      <c r="E25" s="4" t="b">
        <v>0</v>
      </c>
      <c r="F25" s="4" t="b">
        <v>0</v>
      </c>
      <c r="G25" s="11" t="s">
        <v>209</v>
      </c>
      <c r="H25">
        <v>3</v>
      </c>
      <c r="K25" s="8"/>
    </row>
    <row r="26" spans="2:16" ht="44.25" x14ac:dyDescent="0.75">
      <c r="B26" s="1" t="s">
        <v>168</v>
      </c>
      <c r="C26" s="4" t="b">
        <v>0</v>
      </c>
      <c r="D26" s="4" t="b">
        <v>0</v>
      </c>
      <c r="E26" s="4" t="b">
        <v>1</v>
      </c>
      <c r="F26" s="4" t="b">
        <v>0</v>
      </c>
      <c r="G26" s="11" t="s">
        <v>253</v>
      </c>
      <c r="H26">
        <v>2</v>
      </c>
    </row>
    <row r="27" spans="2:16" x14ac:dyDescent="0.75">
      <c r="B27" s="1" t="s">
        <v>173</v>
      </c>
      <c r="C27" s="4" t="b">
        <v>1</v>
      </c>
      <c r="D27" s="4" t="b">
        <v>0</v>
      </c>
      <c r="E27" s="4" t="b">
        <v>0</v>
      </c>
      <c r="F27" s="4" t="b">
        <v>0</v>
      </c>
      <c r="G27" s="11" t="s">
        <v>209</v>
      </c>
      <c r="H27">
        <v>3</v>
      </c>
    </row>
    <row r="28" spans="2:16" x14ac:dyDescent="0.75">
      <c r="B28" s="1" t="s">
        <v>176</v>
      </c>
      <c r="C28" s="4" t="b">
        <v>1</v>
      </c>
      <c r="D28" s="4" t="b">
        <v>0</v>
      </c>
      <c r="E28" s="4" t="b">
        <v>0</v>
      </c>
      <c r="F28" s="4" t="b">
        <v>0</v>
      </c>
      <c r="G28" s="11" t="s">
        <v>209</v>
      </c>
      <c r="H28">
        <v>3</v>
      </c>
    </row>
    <row r="29" spans="2:16" x14ac:dyDescent="0.75">
      <c r="G29" s="11"/>
    </row>
    <row r="30" spans="2:16" x14ac:dyDescent="0.75">
      <c r="G30" s="11"/>
    </row>
    <row r="31" spans="2:16" x14ac:dyDescent="0.75">
      <c r="G31" s="11"/>
    </row>
    <row r="32" spans="2:16" x14ac:dyDescent="0.75">
      <c r="G32" s="11"/>
    </row>
    <row r="33" spans="3:7" x14ac:dyDescent="0.75">
      <c r="G33" s="11"/>
    </row>
    <row r="34" spans="3:7" x14ac:dyDescent="0.75">
      <c r="C34">
        <f>COUNTIF(C3:C32, TRUE)</f>
        <v>16</v>
      </c>
      <c r="D34">
        <f t="shared" ref="D34:F34" si="0">COUNTIF(D3:D32, TRUE)</f>
        <v>2</v>
      </c>
      <c r="E34">
        <f t="shared" si="0"/>
        <v>6</v>
      </c>
      <c r="F34">
        <f t="shared" si="0"/>
        <v>0</v>
      </c>
      <c r="G34" s="11">
        <f>SUM(C34:F34)</f>
        <v>24</v>
      </c>
    </row>
  </sheetData>
  <mergeCells count="1">
    <mergeCell ref="J2:P23"/>
  </mergeCells>
  <conditionalFormatting sqref="H3:H28">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8EE26-4021-441B-8C09-17A77EE07295}">
  <dimension ref="A1:F21"/>
  <sheetViews>
    <sheetView tabSelected="1" topLeftCell="A16" zoomScale="79" workbookViewId="0">
      <selection activeCell="B16" sqref="B16:E16"/>
    </sheetView>
  </sheetViews>
  <sheetFormatPr defaultRowHeight="14.75" x14ac:dyDescent="0.75"/>
  <cols>
    <col min="1" max="1" width="10.2265625" customWidth="1"/>
  </cols>
  <sheetData>
    <row r="1" spans="1:6" x14ac:dyDescent="0.75">
      <c r="A1" t="s">
        <v>191</v>
      </c>
      <c r="B1" t="s">
        <v>254</v>
      </c>
      <c r="C1" t="s">
        <v>228</v>
      </c>
      <c r="D1" t="s">
        <v>229</v>
      </c>
      <c r="E1" t="s">
        <v>230</v>
      </c>
      <c r="F1" t="s">
        <v>192</v>
      </c>
    </row>
    <row r="2" spans="1:6" x14ac:dyDescent="0.75">
      <c r="A2" t="s">
        <v>186</v>
      </c>
      <c r="B2">
        <f>'the price of eating by the...'!C34</f>
        <v>13</v>
      </c>
      <c r="C2">
        <f>'the price of eating by the...'!D34</f>
        <v>6</v>
      </c>
      <c r="D2">
        <f>'the price of eating by the...'!E34</f>
        <v>4</v>
      </c>
      <c r="E2">
        <f>'the price of eating by the...'!F34</f>
        <v>1</v>
      </c>
      <c r="F2">
        <f>SUM(Table8[[#This Row],[PAR]:[EVA]])</f>
        <v>24</v>
      </c>
    </row>
    <row r="3" spans="1:6" x14ac:dyDescent="0.75">
      <c r="A3" t="s">
        <v>187</v>
      </c>
      <c r="B3">
        <f>'Salt draws water from....'!C34</f>
        <v>17</v>
      </c>
      <c r="C3">
        <f>'Salt draws water from....'!D34</f>
        <v>0</v>
      </c>
      <c r="D3">
        <f>'Salt draws water from....'!E34</f>
        <v>6</v>
      </c>
      <c r="E3">
        <f>'Salt draws water from....'!F34</f>
        <v>1</v>
      </c>
      <c r="F3">
        <f>SUM(Table8[[#This Row],[PAR]:[EVA]])</f>
        <v>24</v>
      </c>
    </row>
    <row r="4" spans="1:6" x14ac:dyDescent="0.75">
      <c r="A4" t="s">
        <v>188</v>
      </c>
      <c r="B4">
        <f>'Restuarant overheads '!C34</f>
        <v>13</v>
      </c>
      <c r="C4">
        <f>'Restuarant overheads '!D34</f>
        <v>4</v>
      </c>
      <c r="D4">
        <f>'Restuarant overheads '!E34</f>
        <v>6</v>
      </c>
      <c r="E4">
        <f>'Restuarant overheads '!F34</f>
        <v>1</v>
      </c>
      <c r="F4">
        <f>SUM(Table8[[#This Row],[PAR]:[EVA]])</f>
        <v>24</v>
      </c>
    </row>
    <row r="5" spans="1:6" x14ac:dyDescent="0.75">
      <c r="A5" t="s">
        <v>189</v>
      </c>
      <c r="B5">
        <f>'Drink on the plane'!C34</f>
        <v>16</v>
      </c>
      <c r="C5">
        <f>'Drink on the plane'!D34</f>
        <v>4</v>
      </c>
      <c r="D5">
        <f>'Drink on the plane'!E34</f>
        <v>2</v>
      </c>
      <c r="E5">
        <f>'Drink on the plane'!F34</f>
        <v>2</v>
      </c>
      <c r="F5">
        <f>SUM(Table8[[#This Row],[PAR]:[EVA]])</f>
        <v>24</v>
      </c>
    </row>
    <row r="6" spans="1:6" x14ac:dyDescent="0.75">
      <c r="A6" t="s">
        <v>190</v>
      </c>
      <c r="B6">
        <f>'Tap water tastes different...'!C34</f>
        <v>16</v>
      </c>
      <c r="C6">
        <f>'Tap water tastes different...'!D34</f>
        <v>2</v>
      </c>
      <c r="D6">
        <f>'Tap water tastes different...'!E34</f>
        <v>6</v>
      </c>
      <c r="E6">
        <f>'Tap water tastes different...'!F34</f>
        <v>0</v>
      </c>
      <c r="F6">
        <f>SUM(Table8[[#This Row],[PAR]:[EVA]])</f>
        <v>24</v>
      </c>
    </row>
    <row r="12" spans="1:6" x14ac:dyDescent="0.75">
      <c r="A12" s="6" t="s">
        <v>193</v>
      </c>
      <c r="B12" t="s">
        <v>254</v>
      </c>
      <c r="C12" t="s">
        <v>228</v>
      </c>
      <c r="D12" t="s">
        <v>229</v>
      </c>
      <c r="E12" t="s">
        <v>230</v>
      </c>
    </row>
    <row r="13" spans="1:6" x14ac:dyDescent="0.75">
      <c r="A13" t="s">
        <v>192</v>
      </c>
      <c r="B13" s="5">
        <f>SUM(B2:B6)</f>
        <v>75</v>
      </c>
      <c r="C13" s="5">
        <f>SUM(C2:C6)</f>
        <v>16</v>
      </c>
      <c r="D13" s="5">
        <f t="shared" ref="D13:E13" si="0">SUM(D2:D6)</f>
        <v>24</v>
      </c>
      <c r="E13" s="5">
        <f t="shared" si="0"/>
        <v>5</v>
      </c>
    </row>
    <row r="16" spans="1:6" x14ac:dyDescent="0.75">
      <c r="A16" s="12" t="s">
        <v>191</v>
      </c>
      <c r="B16" s="12" t="s">
        <v>254</v>
      </c>
      <c r="C16" s="12" t="s">
        <v>228</v>
      </c>
      <c r="D16" s="12" t="s">
        <v>229</v>
      </c>
      <c r="E16" s="12" t="s">
        <v>230</v>
      </c>
    </row>
    <row r="17" spans="1:5" x14ac:dyDescent="0.75">
      <c r="A17" s="13" t="s">
        <v>186</v>
      </c>
      <c r="B17" s="15">
        <f>B2/F2</f>
        <v>0.54166666666666663</v>
      </c>
      <c r="C17" s="15">
        <f>C2/F2</f>
        <v>0.25</v>
      </c>
      <c r="D17" s="15">
        <f>D2/F2</f>
        <v>0.16666666666666666</v>
      </c>
      <c r="E17" s="15">
        <f>E2/F2</f>
        <v>4.1666666666666664E-2</v>
      </c>
    </row>
    <row r="18" spans="1:5" x14ac:dyDescent="0.75">
      <c r="A18" s="14" t="s">
        <v>187</v>
      </c>
      <c r="B18" s="15">
        <f t="shared" ref="B18:B21" si="1">B3/F3</f>
        <v>0.70833333333333337</v>
      </c>
      <c r="C18" s="15">
        <f t="shared" ref="C18:C21" si="2">C3/F3</f>
        <v>0</v>
      </c>
      <c r="D18" s="15">
        <f t="shared" ref="D18:D21" si="3">D3/F3</f>
        <v>0.25</v>
      </c>
      <c r="E18" s="15">
        <f t="shared" ref="E18:E21" si="4">E3/F3</f>
        <v>4.1666666666666664E-2</v>
      </c>
    </row>
    <row r="19" spans="1:5" x14ac:dyDescent="0.75">
      <c r="A19" s="13" t="s">
        <v>188</v>
      </c>
      <c r="B19" s="15">
        <f t="shared" si="1"/>
        <v>0.54166666666666663</v>
      </c>
      <c r="C19" s="15">
        <f t="shared" si="2"/>
        <v>0.16666666666666666</v>
      </c>
      <c r="D19" s="15">
        <f t="shared" si="3"/>
        <v>0.25</v>
      </c>
      <c r="E19" s="15">
        <f t="shared" si="4"/>
        <v>4.1666666666666664E-2</v>
      </c>
    </row>
    <row r="20" spans="1:5" x14ac:dyDescent="0.75">
      <c r="A20" s="14" t="s">
        <v>189</v>
      </c>
      <c r="B20" s="15">
        <f t="shared" si="1"/>
        <v>0.66666666666666663</v>
      </c>
      <c r="C20" s="15">
        <f t="shared" si="2"/>
        <v>0.16666666666666666</v>
      </c>
      <c r="D20" s="15">
        <f t="shared" si="3"/>
        <v>8.3333333333333329E-2</v>
      </c>
      <c r="E20" s="15">
        <f t="shared" si="4"/>
        <v>8.3333333333333329E-2</v>
      </c>
    </row>
    <row r="21" spans="1:5" x14ac:dyDescent="0.75">
      <c r="A21" s="13" t="s">
        <v>190</v>
      </c>
      <c r="B21" s="15">
        <f t="shared" si="1"/>
        <v>0.66666666666666663</v>
      </c>
      <c r="C21" s="15">
        <f t="shared" si="2"/>
        <v>8.3333333333333329E-2</v>
      </c>
      <c r="D21" s="15">
        <f t="shared" si="3"/>
        <v>0.25</v>
      </c>
      <c r="E21" s="15">
        <f t="shared" si="4"/>
        <v>0</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the price of eating by the...</vt:lpstr>
      <vt:lpstr>Salt draws water from....</vt:lpstr>
      <vt:lpstr>Restuarant overheads </vt:lpstr>
      <vt:lpstr>Drink on the plane</vt:lpstr>
      <vt:lpstr>Tap water tastes different...</vt:lpstr>
      <vt:lpstr>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2024-12-11T12:45:03Z</dcterms:created>
  <dcterms:modified xsi:type="dcterms:W3CDTF">2025-11-05T17:12:34Z</dcterms:modified>
</cp:coreProperties>
</file>