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44ea4a75fd0232a7/PhD/Planning/Chapters and Drafts/7. Empirical Propositions/Chapter 7/analysis/"/>
    </mc:Choice>
  </mc:AlternateContent>
  <xr:revisionPtr revIDLastSave="934" documentId="11_F267063BEA5E568A666A8272916410700F26815D" xr6:coauthVersionLast="47" xr6:coauthVersionMax="47" xr10:uidLastSave="{1BB4570E-D6D0-4293-A32C-7C8CBE77C3B4}"/>
  <bookViews>
    <workbookView xWindow="-90" yWindow="-90" windowWidth="19380" windowHeight="10260" firstSheet="2" activeTab="6" xr2:uid="{00000000-000D-0000-FFFF-FFFF00000000}"/>
  </bookViews>
  <sheets>
    <sheet name="Sheet0" sheetId="1" r:id="rId1"/>
    <sheet name="Einstein's Theory" sheetId="2" r:id="rId2"/>
    <sheet name="Philosophy" sheetId="3" r:id="rId3"/>
    <sheet name="Conspiracy Theory" sheetId="4" r:id="rId4"/>
    <sheet name="Ethernet cable" sheetId="5" r:id="rId5"/>
    <sheet name="Work availability" sheetId="6" r:id="rId6"/>
    <sheet name="summary " sheetId="7" r:id="rId7"/>
  </sheets>
  <definedNames>
    <definedName name="_xlnm._FilterDatabase" localSheetId="0" hidden="1">Sheet0!$A$2:$H$260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4" i="6" l="1"/>
  <c r="E6" i="7" s="1"/>
  <c r="E34" i="6"/>
  <c r="D6" i="7" s="1"/>
  <c r="D34" i="6"/>
  <c r="C6" i="7" s="1"/>
  <c r="C34" i="6"/>
  <c r="B6" i="7" s="1"/>
  <c r="F34" i="5"/>
  <c r="E5" i="7" s="1"/>
  <c r="E34" i="5"/>
  <c r="D5" i="7" s="1"/>
  <c r="D34" i="5"/>
  <c r="C5" i="7" s="1"/>
  <c r="C34" i="5"/>
  <c r="F34" i="4"/>
  <c r="E4" i="7" s="1"/>
  <c r="E34" i="4"/>
  <c r="D4" i="7" s="1"/>
  <c r="D34" i="4"/>
  <c r="C4" i="7" s="1"/>
  <c r="C34" i="4"/>
  <c r="B4" i="7" s="1"/>
  <c r="F34" i="3"/>
  <c r="E3" i="7" s="1"/>
  <c r="E34" i="3"/>
  <c r="D3" i="7" s="1"/>
  <c r="D34" i="3"/>
  <c r="C3" i="7" s="1"/>
  <c r="C34" i="3"/>
  <c r="B3" i="7" s="1"/>
  <c r="D34" i="2"/>
  <c r="C2" i="7" s="1"/>
  <c r="E34" i="2"/>
  <c r="D2" i="7" s="1"/>
  <c r="F34" i="2"/>
  <c r="E2" i="7" s="1"/>
  <c r="C34" i="2"/>
  <c r="B2" i="7" s="1"/>
  <c r="G34" i="6" l="1"/>
  <c r="G34" i="4"/>
  <c r="G34" i="5"/>
  <c r="B5" i="7"/>
  <c r="B10" i="7" s="1"/>
  <c r="F16" i="7"/>
  <c r="C16" i="7" s="1"/>
  <c r="D16" i="7"/>
  <c r="F15" i="7"/>
  <c r="E15" i="7" s="1"/>
  <c r="G34" i="3"/>
  <c r="G34" i="2"/>
  <c r="E10" i="7"/>
  <c r="F14" i="7"/>
  <c r="F18" i="7"/>
  <c r="B18" i="7" s="1"/>
  <c r="C10" i="7"/>
  <c r="D10" i="7"/>
  <c r="F17" i="7" l="1"/>
  <c r="E16" i="7"/>
  <c r="B16" i="7"/>
  <c r="B15" i="7"/>
  <c r="D15" i="7"/>
  <c r="C15" i="7"/>
  <c r="E14" i="7"/>
  <c r="C14" i="7"/>
  <c r="B14" i="7"/>
  <c r="D14" i="7"/>
  <c r="D18" i="7"/>
  <c r="E18" i="7"/>
  <c r="C18" i="7"/>
  <c r="E17" i="7" l="1"/>
  <c r="D17" i="7"/>
  <c r="C17" i="7"/>
  <c r="B17" i="7"/>
</calcChain>
</file>

<file path=xl/sharedStrings.xml><?xml version="1.0" encoding="utf-8"?>
<sst xmlns="http://schemas.openxmlformats.org/spreadsheetml/2006/main" count="2429" uniqueCount="240">
  <si>
    <t>Q4</t>
  </si>
  <si>
    <t>Q5</t>
  </si>
  <si>
    <t>Q15</t>
  </si>
  <si>
    <t>QID29</t>
  </si>
  <si>
    <t>QID113</t>
  </si>
  <si>
    <t>QID104</t>
  </si>
  <si>
    <t>QID95</t>
  </si>
  <si>
    <t>QID85</t>
  </si>
  <si>
    <t>What is your age?</t>
  </si>
  <si>
    <t>What is your highest level of education?</t>
  </si>
  <si>
    <t>Please select the domain that best describes your current occupation:</t>
  </si>
  <si>
    <t>Two friends are chatting about scientific struggles:
Samantha: They spend like a lifetime working on one little aspect, and they know everything about it and they've worked it all out in their head.
Tom: That's right.
Samantha: I mean, it would be a real bugger if someone came along and said, "Oh, sorry, I’ve just proved you wrong".... Oh, my lifetime's work...Which must happen.
Tom: That’s gotta happen. Well, it did happen once or twice, didn’t it? I mean...
Samantha: Yeah.
Tom: Somebody tried to prove Einstein’s theory wrong, didn’t they?
Samantha: Well, I don’t think they tried to prove it wrong but they sort of like....
Tom: Well, they didn't prove it.
What do you think is conveyed by Tom in the underlined text?</t>
  </si>
  <si>
    <t>Two close friends are talking about philosophers:
Jordan: How can they sleep at night?
Sam: Yeah I know.
Jordan: Like, "this bed is not real."
Jordan: That's why I would never ever want to be a philosopher.
Jordan: Yeah.
Sam: But then again it might be quite satisfying.
Jordan: I mean, that’s just like the simple stuff. That was literally in our first lecture to get us introduced to it, and then after that it was all just, like, theory.
Sam: Mm.
Jordan: And it was so confusing like you don't even know.
What do you think is conveyed by Jordan in the underlined text?</t>
  </si>
  <si>
    <t>Alice and Emma are arguing:
Alice: I mean you're still accusing me of sleeping with Tim and that's bizarre.
Emma: No, okay, alright, let's leave that now for now.
Alice: And I don't know how many times I can tell you the same thing.
Emma: Okay.
Alice: And I told you to speak to him.
Emma: Okay, I'm sorry.
Alice: But you think we've got some kind of conspiracy theory going on.
Emma: I'm sorry, okay.
Alice: Where we've worked out some story that we'll lie to you. And you know, for what purpose I'm not quite sure.
Emma: Can I just say what I was gonna say?
What do you think is conveyed by Alice in the underlined text?</t>
  </si>
  <si>
    <t>Chrissy and Tay are discussing a holiday Tay is taking:
Chrissy: Do they have Wi-Fi?
Tay: They don’t have Wi-Fi. Unless you’re near the main house.
Chrissy: Aha.
Tay: So you can go to the main house and get Wi-Fi, and then in theory the log cabin has an Ethernet cable, but I took my computer one time and plugged it in and it didn't work, so...
Chrissy: Oh, okay.
Tay: And then it's got a little wood burner, and that's the only heating. Water is alright, the shower has a boiler where you don’t touch a thing. Don’t change the temperature, do nothing, and you should get warm water.
Chrissy: Right, erm, that's funny.
What do you think is conveyed by Tay in the underlined text?</t>
  </si>
  <si>
    <t>Iris and Matt are discussing Matt's future career:
Iris: You could become a full-time philosopher.
Matt: Yeah, cos there's lots of work for full-time philosophers... philosophising all day.
Iris: Is there a lot of work for English literature students?
Matt: Of course there is.
Iris: Is there?
Matt: Because you can go into anything.
Iris: Like what?
Matt: Well, anything that's not science, and you can just get additional training for anything, but to be a philosopher, like—
Iris: Well, philosophers in theory should be able to go into anything as well.
Matt: Well, yeah, if you do a philosophy degree.
What do you think is conveyed by Iris in the underlined text?</t>
  </si>
  <si>
    <t>45 - 54</t>
  </si>
  <si>
    <t>Master’s Degree (e.g. MA. MSc)</t>
  </si>
  <si>
    <t>Sales and Marketing</t>
  </si>
  <si>
    <t/>
  </si>
  <si>
    <t>theory is too big and vast to comprehend</t>
  </si>
  <si>
    <t>25 - 34</t>
  </si>
  <si>
    <t>GCSE/O-level</t>
  </si>
  <si>
    <t>Finance and Banking</t>
  </si>
  <si>
    <t>35 - 44</t>
  </si>
  <si>
    <t>Bachelors Degree (e.g BA, BSc)</t>
  </si>
  <si>
    <t>Unemployed</t>
  </si>
  <si>
    <t>Alice is suggesting that Emma is being paranoid</t>
  </si>
  <si>
    <t>Vocational Qualifications (e.g. NVQs, BTEC)</t>
  </si>
  <si>
    <t>Information Technology and Software Development</t>
  </si>
  <si>
    <t>That philosophers cannot really choose what field they work in, and that is somewhat ironic</t>
  </si>
  <si>
    <t>55 - 64</t>
  </si>
  <si>
    <t>Higher National Certificate/higher National Diploma</t>
  </si>
  <si>
    <t>the ethernet cable is broken</t>
  </si>
  <si>
    <t>Engineering and Manufacturing</t>
  </si>
  <si>
    <t xml:space="preserve"> Tom is saying that someone tried to challenge Einstein’s theory, but they didn’t manage to disprove it.</t>
  </si>
  <si>
    <t>Nonprofit and Social Services</t>
  </si>
  <si>
    <t>A-levels/Highers</t>
  </si>
  <si>
    <t xml:space="preserve">Philosophy has a broad range of transferable skills and information, suitable for a variety of jobs </t>
  </si>
  <si>
    <t>Retired</t>
  </si>
  <si>
    <t>He is suggesting that people can be wrong in their scientific studies and that someone had challenged Einsteins theories</t>
  </si>
  <si>
    <t>Retail and Customer Service</t>
  </si>
  <si>
    <t>Law and Legal Services</t>
  </si>
  <si>
    <t>Education and Training</t>
  </si>
  <si>
    <t>There is an ethernet cable in the log cabin but it isn't reliable</t>
  </si>
  <si>
    <t>Healthcare and Medicine</t>
  </si>
  <si>
    <t xml:space="preserve">The place they are staying is supposed to have an Ethernet cable but that claim might not be true in practice </t>
  </si>
  <si>
    <t>Consulting and Business Services</t>
  </si>
  <si>
    <t>Government and Public Administration</t>
  </si>
  <si>
    <t xml:space="preserve">That Emma has a conspiracy theory regarding Alice and Tim sleeping with each other but denying it. </t>
  </si>
  <si>
    <t>Another scientist worked to disprove Einstein's theory, so someone could do the same for someone else's.</t>
  </si>
  <si>
    <t>She's angry at Emma thinking she's been plotting to lie to her</t>
  </si>
  <si>
    <t xml:space="preserve">That she thinks her friend is paranoid and distrusts her </t>
  </si>
  <si>
    <t>That philosophy is equivalent to any other humanities degree</t>
  </si>
  <si>
    <t>I think Jordan means that everything that came after was a lot easier and just reading and learning based.</t>
  </si>
  <si>
    <t>Einstein's work was disputed by someone</t>
  </si>
  <si>
    <t xml:space="preserve">That someone might come and try and prove you wrong if you have a certain theory about something </t>
  </si>
  <si>
    <t>Arts and Humanities</t>
  </si>
  <si>
    <t>Construction and Skilled Trades</t>
  </si>
  <si>
    <t>Alice is hurt that Emma is accusing her of lying and concocting a plot to deceive</t>
  </si>
  <si>
    <t>A slight passive aggressive comment conveying that there shpuld ve wifi but they weren't able to use it. A slight anger in the tone</t>
  </si>
  <si>
    <t>People get things wrong</t>
  </si>
  <si>
    <t>There is a cable but it’s broken</t>
  </si>
  <si>
    <t>65 - 74</t>
  </si>
  <si>
    <t>Transportation and Logistics</t>
  </si>
  <si>
    <t>18 - 24</t>
  </si>
  <si>
    <t>fed up with doing theory</t>
  </si>
  <si>
    <t xml:space="preserve">His belief and theory </t>
  </si>
  <si>
    <t>the rest of the lecture was of a theoretical nature</t>
  </si>
  <si>
    <t>Media  and Entertainment</t>
  </si>
  <si>
    <t xml:space="preserve">Alice is annoyed because Emma thinks she had sex with Tim who is probably Emma's partner. Alice thinks that Emma thinks that her and Tim are both covering up about it. </t>
  </si>
  <si>
    <t>There probably isn't useable wifi in the log cabin</t>
  </si>
  <si>
    <t>there is an ethernet cable, it might not work</t>
  </si>
  <si>
    <t>A degree in philosophy has multiple applications rather than one thing.</t>
  </si>
  <si>
    <t>Secondary School/No formal qualifications</t>
  </si>
  <si>
    <t>Energy and Utilities</t>
  </si>
  <si>
    <t>The first lecture, hes either seriously upset about the philosopher's words or thinks it's ridiculous. Then seems to be frustrated that its was all theory suggesting it is boring or tedious</t>
  </si>
  <si>
    <t xml:space="preserve">justification of a choice of philosophy </t>
  </si>
  <si>
    <t>75 - 84</t>
  </si>
  <si>
    <t xml:space="preserve">That Emma thinks they are making things up about them </t>
  </si>
  <si>
    <t>Student</t>
  </si>
  <si>
    <t>That as philosophy is such a broad abstract study, Matt thinks about everything and anything. He can 'go into' any sector through thought.</t>
  </si>
  <si>
    <t>That people try to undermine other people's hard work</t>
  </si>
  <si>
    <t>that even famous theories could be proved wrong</t>
  </si>
  <si>
    <t>that anyone can do anything</t>
  </si>
  <si>
    <t>Iris is saying being a philosopher opens opportunities into other working fields.</t>
  </si>
  <si>
    <t>Emma thinks Alice is sleeping with her boyfriend and Alice is denying this.</t>
  </si>
  <si>
    <t>Not all theories are correct</t>
  </si>
  <si>
    <t>Alice thinks that Emma is suspicious of there being some kind of plot going on between them.</t>
  </si>
  <si>
    <t>Suggesting that Matt could do quite a few things as a profession</t>
  </si>
  <si>
    <t>Tay isn't impressed by the place he is staying in. With its lack of WiFi, basis heating and boiler</t>
  </si>
  <si>
    <t>People with a philosophy degree should be able to use it to secure a wide array of jobs.</t>
  </si>
  <si>
    <t>that the holiday place is not great</t>
  </si>
  <si>
    <t>That he is unsure if the cabin does have an Ethernet cable</t>
  </si>
  <si>
    <t xml:space="preserve">He always wants to prove people wrong </t>
  </si>
  <si>
    <t xml:space="preserve">Jordan seems to be expressing disappointment that his philosophy course was all theory based </t>
  </si>
  <si>
    <t>Jordan is displaying a real intrigue and curiosity into the mindset of philosophers.</t>
  </si>
  <si>
    <t>skills can be transferable</t>
  </si>
  <si>
    <t>Science and Research</t>
  </si>
  <si>
    <t xml:space="preserve">Trying to use examples to prove a point </t>
  </si>
  <si>
    <t>that scientist's theories are always being changed and disproven, even if it took someone's entire life to create a theory</t>
  </si>
  <si>
    <t>It is really confusing stuff</t>
  </si>
  <si>
    <t>That Emma has a whole scenario in her head that is untrue</t>
  </si>
  <si>
    <t>that philosophers could do almost any sort of job</t>
  </si>
  <si>
    <t>People who study philosophy could potentially work in any area they choose.</t>
  </si>
  <si>
    <t>Emma thinks that Alice and Tim are deliberately lying to her to hurt her feelings.</t>
  </si>
  <si>
    <t>that profession is not meaningful</t>
  </si>
  <si>
    <t>That Emma is believing a conspiracy that she created in her head</t>
  </si>
  <si>
    <t xml:space="preserve">Philosophy is a thought provoking and academic subject that shows quality of thought   IAnyone who studies that subject is therefore clever so could apply for a wide variety of jobs that may just need a little specific training. </t>
  </si>
  <si>
    <t>Hospitality and Tourism</t>
  </si>
  <si>
    <t>That they can be anything, she is making a joke as philosiphers make theorys</t>
  </si>
  <si>
    <t>That a philosopher isnt just tied to philosophy they can enter other fields of work</t>
  </si>
  <si>
    <t>Those who complete degrees in philosophy have the same work opportunities as those who complete other degrees</t>
  </si>
  <si>
    <t>The ethernet connection advertised does not work in practice</t>
  </si>
  <si>
    <t>Jordan is dissatisfied that the subsequent lectures were mostly theory based rather than practical</t>
  </si>
  <si>
    <t>Even great people can be proved wrong</t>
  </si>
  <si>
    <t>That the cabin should have a ethernet cable</t>
  </si>
  <si>
    <t xml:space="preserve">I think he was disappointed in his lectures </t>
  </si>
  <si>
    <t>no trust</t>
  </si>
  <si>
    <t xml:space="preserve">A belief that someone tried to prove Einstein was incorrect </t>
  </si>
  <si>
    <t>Tay is talking about the facility of Ethernet cable available within the log cabin</t>
  </si>
  <si>
    <t>Philosophers can go into anything</t>
  </si>
  <si>
    <t xml:space="preserve">Gibberish. </t>
  </si>
  <si>
    <t>That theoretically speaking - other than science disciplines - philosophy degrees should be transferrable to most sectors</t>
  </si>
  <si>
    <t>Agriculture and Environmental Services</t>
  </si>
  <si>
    <t>I think Alice is trying to tell Emma that she is overthinking the issue being discussed and thus is coming up with explanations/theories and believing those to be true that they are lying to her</t>
  </si>
  <si>
    <t>THAT HE PREFERS A MORE PRACTICAL WAY OF LEARNING AND HE WAS NOT IN TO THEORY BASED LEARNING</t>
  </si>
  <si>
    <t xml:space="preserve">she thinks emma has imagined something </t>
  </si>
  <si>
    <t>In theory the log cabin has an ethernet cable</t>
  </si>
  <si>
    <t>He doesn't believe it</t>
  </si>
  <si>
    <t>That they weren't really understanding the lectures and found it not very exciting but confusing</t>
  </si>
  <si>
    <t xml:space="preserve">Philosophy can be useful in lots of different fields. </t>
  </si>
  <si>
    <t>philosophy is just a bundle of theories</t>
  </si>
  <si>
    <t>The log cabin has internet access but it doesnt always work.</t>
  </si>
  <si>
    <t>that science is ever evolving and theories that we thought were cirrect have later been proven wrong yet einstiens has yet to be proven wrong</t>
  </si>
  <si>
    <t xml:space="preserve">Tau is explaining that. Theory you could use the Ethernet cable to access the internet </t>
  </si>
  <si>
    <t xml:space="preserve">He doesn't understand philosophy </t>
  </si>
  <si>
    <t xml:space="preserve">They are providing their experience of what happened. </t>
  </si>
  <si>
    <t>Doctorate (e.g. PhD, EdD)</t>
  </si>
  <si>
    <t>She is asserting that Emma has become obsessed with her friends colluding.</t>
  </si>
  <si>
    <t xml:space="preserve">Tay is explaining that there is a cable that could be used for internet in the log cabin, but she tried it and it did not work so it is something that should work, but does not. </t>
  </si>
  <si>
    <t xml:space="preserve">That she is defending herself and questioning Emma </t>
  </si>
  <si>
    <t>He is trying to use an example of 'somebody, sometime' trying to disprove Einstein's theory wrong and using this as a blanket exertion that lifetime research and studies by scientists are often overturned.</t>
  </si>
  <si>
    <t>That she is telling the truth but conspiring with Tim to both tell lies to cover up their affair</t>
  </si>
  <si>
    <t xml:space="preserve">That the lecturer was sharing basic information during the lecture, perhaps throwing perspectives from other philosophers, as opposed to getting the class involved and giving them real life examples of philosophy. </t>
  </si>
  <si>
    <t>Another scientist worked to find a different outcome to Einstein's theory wrong, something that Einstein is famous for.</t>
  </si>
  <si>
    <t>That, in the same way that an English lit degree has broad appeal to employers over a wide range of jobs, a philosophy degree should hold the same appeal</t>
  </si>
  <si>
    <t xml:space="preserve">Einsteins theory has not been proven wrong even though others have tried. </t>
  </si>
  <si>
    <t>Somebody tried to prove Einstein's theory wrong (even though they did not manage it) that Einstein spend like a lifetime on.</t>
  </si>
  <si>
    <t>That she's annoyed by being asked about the subject, wants to end the conversation by making Emma look unhinged.  There may also be a suspicion of some kind of involvment between Emma and Tim</t>
  </si>
  <si>
    <t>Foundation Degree</t>
  </si>
  <si>
    <t>that Chrissy should not expect to rely on having a functioning internet connection whilst in the log cabin</t>
  </si>
  <si>
    <t xml:space="preserve">that philosophy is relevant to the job market as the skills can be transferred to any sector </t>
  </si>
  <si>
    <t>That Emma is not trusting her and thinks there is a conspiracy theory about Alice and Tim</t>
  </si>
  <si>
    <t>Lack of trust within the relationships</t>
  </si>
  <si>
    <t>That having a degree in philosophy should open up many career oppurtunities</t>
  </si>
  <si>
    <t>There may be alternatives.</t>
  </si>
  <si>
    <t>The log cabin should have an ethernet cable.</t>
  </si>
  <si>
    <t xml:space="preserve">Philosophers can go into any work area just like any other humanities subject  </t>
  </si>
  <si>
    <t>You are meant to be able to use wired ethernet connection not wired connection.</t>
  </si>
  <si>
    <t>The she and Tim had planned to lie to Emma about them sleeping together.</t>
  </si>
  <si>
    <t>The she is being underhand and hiding information.</t>
  </si>
  <si>
    <t>The connection in the cabin does not work.</t>
  </si>
  <si>
    <t>Tom is conveying that he believes in Einstein's theory and someone wrongly tried to rubbish his theory.</t>
  </si>
  <si>
    <t>That there is always going to be somebody who doesnt believe or trust in you, it doesnt matter who you are it happens.</t>
  </si>
  <si>
    <t>That she knows everything about the holiday they are going to take. She’s in control and likes to know everything she needs to before going.</t>
  </si>
  <si>
    <t xml:space="preserve">Tay doesn't understand why the Ethernet cable didn't work as she believes theoretically it should have. </t>
  </si>
  <si>
    <t>Tay mentions that the ethernet cable should mean his computer would be able to go online. But he wasn't able to connect in reality</t>
  </si>
  <si>
    <t xml:space="preserve">That there is internet in the log cabin, but you have to use a cable connection </t>
  </si>
  <si>
    <t>that somebody tried to prove Einstein's theory wrong</t>
  </si>
  <si>
    <t xml:space="preserve">I think Tom is referring to the fact that somebody tried to challenge or disprove Einstein's theory and by doing so he acknowledges that scientific theories are often tested </t>
  </si>
  <si>
    <t>The study content is all theoretical, there is no practical substance to the topics and anything discussed is completely open to individual interpretation.</t>
  </si>
  <si>
    <t>It suggested that, because in theory philosophers have the ablility to use critical thinking and reasoning, they should be well-equipped to adapt to any subject</t>
  </si>
  <si>
    <t>Tom is saying that some one will always think they know better than you.</t>
  </si>
  <si>
    <t>his disinterest in the subject</t>
  </si>
  <si>
    <t>Alice thinks that Emma believe something fishy is going on and she is being lied to</t>
  </si>
  <si>
    <t>That Emma thinks she's not being truthful and they are lying to cover their backs,</t>
  </si>
  <si>
    <t>not giving answers but rather presumption</t>
  </si>
  <si>
    <t>That Philosophy is difficult and he would not like to live like aPhilosepher. also that it is very confusing.</t>
  </si>
  <si>
    <t>That the majority of their lecturers have mean theoretical rather than practical.</t>
  </si>
  <si>
    <t>All of the rest of the lecture was about theory in philosophy rather than what they found interesting.</t>
  </si>
  <si>
    <t>Confusion but with a side of him trying to explain in a way he knows what he is talking about</t>
  </si>
  <si>
    <t>That someone tried to prove a theory to be wrong.</t>
  </si>
  <si>
    <t>how much harder the content is now</t>
  </si>
  <si>
    <t xml:space="preserve">someone tried to prove Einstein's theory wrong </t>
  </si>
  <si>
    <t>after that it was all just like theory</t>
  </si>
  <si>
    <t xml:space="preserve">you think we've got some kind of conspiracy theory going on </t>
  </si>
  <si>
    <t>philosophers in theory should be able to go into anything as well</t>
  </si>
  <si>
    <t>That philosophers cannot really choose what field they go into</t>
  </si>
  <si>
    <t>s1</t>
  </si>
  <si>
    <t>d2</t>
  </si>
  <si>
    <t>d3</t>
  </si>
  <si>
    <t>d4</t>
  </si>
  <si>
    <t>d5</t>
  </si>
  <si>
    <t>Column1</t>
  </si>
  <si>
    <t>totals</t>
  </si>
  <si>
    <t>That philosophy became confusing and abstract?</t>
  </si>
  <si>
    <t>Theory of philosophy is confusing</t>
  </si>
  <si>
    <t xml:space="preserve">QUD: </t>
  </si>
  <si>
    <t>What happens when a scientist’s lifetime work is challenged or disproven?"</t>
  </si>
  <si>
    <t>Comment</t>
  </si>
  <si>
    <t>Certainty</t>
  </si>
  <si>
    <t>paraphrase</t>
  </si>
  <si>
    <t>inference</t>
  </si>
  <si>
    <t>COMMENT</t>
  </si>
  <si>
    <t>CERTAINTY</t>
  </si>
  <si>
    <t>QUD</t>
  </si>
  <si>
    <t>Why is philosophy so difficult or unsatisfying for some people?</t>
  </si>
  <si>
    <t>attributing emotion</t>
  </si>
  <si>
    <t>beyond DPS but in discourse</t>
  </si>
  <si>
    <t>Why is Emma still suspicious or disbelieving of Alice and Tim?</t>
  </si>
  <si>
    <t>discourse</t>
  </si>
  <si>
    <t>not the utterance but in discourse</t>
  </si>
  <si>
    <t>What kind of internet access is available where you're staying?</t>
  </si>
  <si>
    <t>Should philosophers be able to go into anything, like other graduates?</t>
  </si>
  <si>
    <t>picked up on a joke that doesn't exist, love that a lot</t>
  </si>
  <si>
    <t>beyond dps</t>
  </si>
  <si>
    <t>EVA</t>
  </si>
  <si>
    <t>total</t>
  </si>
  <si>
    <t>INF</t>
  </si>
  <si>
    <t>SIT</t>
  </si>
  <si>
    <t>inference from discourse</t>
  </si>
  <si>
    <t>"people can be wrong" not stated, inference</t>
  </si>
  <si>
    <t>broader than dps</t>
  </si>
  <si>
    <t xml:space="preserve">inference, undermining is an inference </t>
  </si>
  <si>
    <t>great people i don't think is in DPS</t>
  </si>
  <si>
    <t>ever-evolving is an inference</t>
  </si>
  <si>
    <t>captures core communicated content</t>
  </si>
  <si>
    <t>sit</t>
  </si>
  <si>
    <t>inf</t>
  </si>
  <si>
    <t>evaluation</t>
  </si>
  <si>
    <t>eva</t>
  </si>
  <si>
    <t>emotions ascribed</t>
  </si>
  <si>
    <t>inference and wrong</t>
  </si>
  <si>
    <t>attribution of emotions</t>
  </si>
  <si>
    <t xml:space="preserve">inference </t>
  </si>
  <si>
    <t>dps</t>
  </si>
  <si>
    <t>Excluded?</t>
  </si>
  <si>
    <t>X</t>
  </si>
  <si>
    <t>PAR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</si>
</sst>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Aptos Narrow"/>
      <family val="2"/>
      <scheme val="minor"/>
    </font>
    <font>
      <b/>
      <sz val="11"/>
      <color indexed="8"/>
      <name val="Aptos Narrow"/>
      <family val="2"/>
      <scheme val="minor"/>
    </font>
    <font>
      <sz val="11"/>
      <color indexed="8"/>
      <name val="Aptos Narrow"/>
      <family val="2"/>
      <scheme val="minor"/>
    </font>
    <font>
      <sz val="8"/>
      <name val="Aptos Narrow"/>
      <family val="2"/>
      <scheme val="minor"/>
    </font>
  </fonts>
  <fills count="6">
    <fill>
      <patternFill patternType="none"/>
    </fill>
    <fill>
      <patternFill patternType="gray125"/>
    </fill>
    <fill>
      <patternFill patternType="solid">
        <fgColor indexed="22"/>
      </patternFill>
    </fill>
    <fill>
      <patternFill patternType="solid">
        <fgColor rgb="FFFF0000"/>
        <bgColor indexed="64"/>
      </patternFill>
    </fill>
    <fill>
      <patternFill patternType="solid">
        <fgColor theme="2" tint="-9.9978637043366805E-2"/>
        <bgColor indexed="64"/>
      </patternFill>
    </fill>
    <fill>
      <patternFill patternType="solid">
        <fgColor rgb="FFFFC000"/>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9">
    <xf numFmtId="0" fontId="0" fillId="0" borderId="0" xfId="0"/>
    <xf numFmtId="49" fontId="0" fillId="0" borderId="0" xfId="0" applyNumberFormat="1" applyAlignment="1">
      <alignment wrapText="1"/>
    </xf>
    <xf numFmtId="0" fontId="0" fillId="2" borderId="0" xfId="0" applyFill="1"/>
    <xf numFmtId="0" fontId="0" fillId="0" borderId="0" xfId="0">
      <extLst>
        <ext xmlns:xfpb="http://schemas.microsoft.com/office/spreadsheetml/2022/featurepropertybag" uri="{C7286773-470A-42A8-94C5-96B5CB345126}">
          <xfpb:xfComplement i="0"/>
        </ext>
      </extLst>
    </xf>
    <xf numFmtId="49" fontId="0" fillId="3" borderId="0" xfId="0" applyNumberFormat="1" applyFill="1" applyAlignment="1">
      <alignment wrapText="1"/>
    </xf>
    <xf numFmtId="0" fontId="1" fillId="0" borderId="0" xfId="0" applyFont="1"/>
    <xf numFmtId="0" fontId="1" fillId="0" borderId="0" xfId="0" applyFont="1" applyAlignment="1">
      <alignment vertical="center"/>
    </xf>
    <xf numFmtId="0" fontId="0" fillId="0" borderId="0" xfId="0" applyAlignment="1">
      <alignment vertical="center"/>
    </xf>
    <xf numFmtId="0" fontId="0" fillId="0" borderId="0" xfId="0" applyAlignment="1">
      <alignment wrapText="1"/>
    </xf>
    <xf numFmtId="0" fontId="0" fillId="0" borderId="0" xfId="0" applyAlignment="1">
      <alignment vertical="top" wrapText="1"/>
    </xf>
    <xf numFmtId="0" fontId="0" fillId="0" borderId="0" xfId="0" applyAlignment="1">
      <alignment horizontal="left" vertical="center" indent="1"/>
    </xf>
    <xf numFmtId="0" fontId="0" fillId="0" borderId="0" xfId="0" applyAlignment="1">
      <alignment horizontal="left" vertical="center" indent="2"/>
    </xf>
    <xf numFmtId="0" fontId="1" fillId="0" borderId="0" xfId="0" applyFont="1" applyAlignment="1">
      <alignment horizontal="left" vertical="center" indent="1"/>
    </xf>
    <xf numFmtId="9" fontId="0" fillId="0" borderId="0" xfId="1" applyFont="1"/>
    <xf numFmtId="0" fontId="0" fillId="4" borderId="0" xfId="0" applyFill="1"/>
    <xf numFmtId="0" fontId="0" fillId="4" borderId="0" xfId="0" applyFill="1" applyAlignment="1">
      <alignment wrapText="1"/>
    </xf>
    <xf numFmtId="49" fontId="0" fillId="5" borderId="0" xfId="0" applyNumberFormat="1" applyFill="1" applyAlignment="1">
      <alignment wrapText="1"/>
    </xf>
    <xf numFmtId="0" fontId="0" fillId="2" borderId="0" xfId="0" applyFill="1" applyAlignment="1">
      <alignment vertical="top" wrapText="1"/>
    </xf>
    <xf numFmtId="0" fontId="0" fillId="0" borderId="0" xfId="0" applyFill="1"/>
  </cellXfs>
  <cellStyles count="2">
    <cellStyle name="Normal" xfId="0" builtinId="0"/>
    <cellStyle name="Per cent" xfId="1" builtinId="5"/>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1/relationships/FeaturePropertyBag" Target="featurePropertyBag/featurePropertyBag.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834C0EC-6224-4E23-985C-181AFECDFC8D}" name="Table6" displayName="Table6" ref="A1:E6" totalsRowShown="0">
  <autoFilter ref="A1:E6" xr:uid="{E834C0EC-6224-4E23-985C-181AFECDFC8D}"/>
  <tableColumns count="5">
    <tableColumn id="1" xr3:uid="{36CD4D6E-E5F7-4BFB-87B0-4A78E5A64708}" name="Column1"/>
    <tableColumn id="2" xr3:uid="{CE106328-2A5F-4A2A-B090-C0B7F033D80E}" name="PAR"/>
    <tableColumn id="3" xr3:uid="{1EE79FEB-7AF5-455E-897A-1B61479233B3}" name="SIT"/>
    <tableColumn id="4" xr3:uid="{BA3C98D4-F8D8-4A29-992E-362DC4195F5B}" name="INF"/>
    <tableColumn id="5" xr3:uid="{AB97281B-69D0-44B5-81B1-2275DF1F88D9}" name="EVA">
      <calculatedColumnFormula>SUM(Table6[[#This Row],[PAR]:[INF]])</calculatedColumn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53436E3-46FE-44BB-A2FD-717B9240D48A}" name="Table7" displayName="Table7" ref="A9:E10" totalsRowShown="0">
  <autoFilter ref="A9:E10" xr:uid="{953436E3-46FE-44BB-A2FD-717B9240D48A}"/>
  <tableColumns count="5">
    <tableColumn id="1" xr3:uid="{C3C8E299-5E57-4002-AA69-532EB67D7F0A}" name="Column1"/>
    <tableColumn id="2" xr3:uid="{0A22109F-8B9C-44EF-AD73-6DF2631D0FEF}" name="PAR">
      <calculatedColumnFormula>SUM(Table6[PAR])</calculatedColumnFormula>
    </tableColumn>
    <tableColumn id="3" xr3:uid="{E7B68188-E99E-49AB-917C-BED2BC8A9C9B}" name="SIT">
      <calculatedColumnFormula>SUM(Table6[SIT])</calculatedColumnFormula>
    </tableColumn>
    <tableColumn id="4" xr3:uid="{9F0228CF-A6DD-46EA-B82C-FDFFE5AF8640}" name="INF">
      <calculatedColumnFormula>SUM(Table6[INF])</calculatedColumnFormula>
    </tableColumn>
    <tableColumn id="5" xr3:uid="{9EF94926-E6EF-46AD-8890-B5604F03E964}" name="EVA">
      <calculatedColumnFormula>SUM(Table6[EVA])</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1514077-01EE-4386-B4E7-E68B072F7553}" name="Table69" displayName="Table69" ref="A13:F18" totalsRowShown="0">
  <autoFilter ref="A13:F18" xr:uid="{31514077-01EE-4386-B4E7-E68B072F7553}"/>
  <tableColumns count="6">
    <tableColumn id="1" xr3:uid="{BE4CE901-9C0A-421F-91CF-E6B96445EF87}" name="Column1"/>
    <tableColumn id="2" xr3:uid="{784B7233-8474-44C3-844B-F02559C2A829}" name="PAR" dataCellStyle="Per cent">
      <calculatedColumnFormula>B2/Table69[[#This Row],[total]]</calculatedColumnFormula>
    </tableColumn>
    <tableColumn id="3" xr3:uid="{257315C0-F210-498C-BAD2-9967175F941C}" name="SIT" dataCellStyle="Per cent">
      <calculatedColumnFormula>C2/Table69[[#This Row],[total]]</calculatedColumnFormula>
    </tableColumn>
    <tableColumn id="4" xr3:uid="{F8B01313-6BE9-42A6-BED2-3DC2AC7AC48A}" name="INF" dataCellStyle="Per cent">
      <calculatedColumnFormula>D2/Table69[[#This Row],[total]]</calculatedColumnFormula>
    </tableColumn>
    <tableColumn id="5" xr3:uid="{6DF057FE-E895-4B78-838B-CE12F0FBFA40}" name="EVA" dataCellStyle="Per cent">
      <calculatedColumnFormula>E2/Table69[[#This Row],[total]]</calculatedColumnFormula>
    </tableColumn>
    <tableColumn id="6" xr3:uid="{CDBE869F-8A0E-4347-9B20-1B18195EC9CE}" name="total">
      <calculatedColumnFormula>SUM(B2:E2)</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60"/>
  <sheetViews>
    <sheetView workbookViewId="0">
      <selection activeCell="D5" sqref="D5"/>
    </sheetView>
  </sheetViews>
  <sheetFormatPr defaultRowHeight="14.75" x14ac:dyDescent="0.75"/>
  <cols>
    <col min="4" max="4" width="41.453125" customWidth="1"/>
    <col min="5" max="5" width="38.1796875" customWidth="1"/>
    <col min="6" max="6" width="46.6328125" customWidth="1"/>
    <col min="7" max="7" width="50.58984375" customWidth="1"/>
    <col min="8" max="8" width="53.31640625" customWidth="1"/>
  </cols>
  <sheetData>
    <row r="1" spans="1:8" x14ac:dyDescent="0.75">
      <c r="A1" s="2" t="s">
        <v>0</v>
      </c>
      <c r="B1" s="2" t="s">
        <v>1</v>
      </c>
      <c r="C1" s="2" t="s">
        <v>2</v>
      </c>
      <c r="D1" s="2" t="s">
        <v>3</v>
      </c>
      <c r="E1" s="2" t="s">
        <v>4</v>
      </c>
      <c r="F1" s="2" t="s">
        <v>5</v>
      </c>
      <c r="G1" s="2" t="s">
        <v>6</v>
      </c>
      <c r="H1" s="2" t="s">
        <v>7</v>
      </c>
    </row>
    <row r="2" spans="1:8" x14ac:dyDescent="0.75">
      <c r="A2" s="2" t="s">
        <v>8</v>
      </c>
      <c r="B2" s="2" t="s">
        <v>9</v>
      </c>
      <c r="C2" s="2" t="s">
        <v>10</v>
      </c>
      <c r="D2" s="2" t="s">
        <v>11</v>
      </c>
      <c r="E2" s="2" t="s">
        <v>12</v>
      </c>
      <c r="F2" s="2" t="s">
        <v>13</v>
      </c>
      <c r="G2" s="2" t="s">
        <v>14</v>
      </c>
      <c r="H2" s="2" t="s">
        <v>15</v>
      </c>
    </row>
    <row r="3" spans="1:8" ht="59" x14ac:dyDescent="0.75">
      <c r="A3" s="1" t="s">
        <v>16</v>
      </c>
      <c r="B3" s="1" t="s">
        <v>17</v>
      </c>
      <c r="C3" s="1" t="s">
        <v>18</v>
      </c>
      <c r="D3" s="1" t="s">
        <v>19</v>
      </c>
      <c r="E3" s="1" t="s">
        <v>20</v>
      </c>
      <c r="F3" s="1" t="s">
        <v>19</v>
      </c>
      <c r="G3" s="1" t="s">
        <v>19</v>
      </c>
      <c r="H3" s="1" t="s">
        <v>19</v>
      </c>
    </row>
    <row r="4" spans="1:8" ht="44.25" x14ac:dyDescent="0.75">
      <c r="A4" s="1" t="s">
        <v>21</v>
      </c>
      <c r="B4" s="1" t="s">
        <v>22</v>
      </c>
      <c r="C4" s="1" t="s">
        <v>23</v>
      </c>
      <c r="D4" s="1" t="s">
        <v>19</v>
      </c>
      <c r="E4" s="1" t="s">
        <v>19</v>
      </c>
      <c r="F4" s="1" t="s">
        <v>19</v>
      </c>
      <c r="G4" s="1" t="s">
        <v>19</v>
      </c>
      <c r="H4" s="1" t="s">
        <v>19</v>
      </c>
    </row>
    <row r="5" spans="1:8" ht="59" x14ac:dyDescent="0.75">
      <c r="A5" s="1" t="s">
        <v>24</v>
      </c>
      <c r="B5" s="1" t="s">
        <v>25</v>
      </c>
      <c r="C5" s="1" t="s">
        <v>26</v>
      </c>
      <c r="D5" s="1" t="s">
        <v>19</v>
      </c>
      <c r="E5" s="1" t="s">
        <v>19</v>
      </c>
      <c r="F5" s="1" t="s">
        <v>27</v>
      </c>
      <c r="G5" s="1" t="s">
        <v>19</v>
      </c>
      <c r="H5" s="1" t="s">
        <v>19</v>
      </c>
    </row>
    <row r="6" spans="1:8" ht="103.25" x14ac:dyDescent="0.75">
      <c r="A6" s="1" t="s">
        <v>24</v>
      </c>
      <c r="B6" s="1" t="s">
        <v>28</v>
      </c>
      <c r="C6" s="1" t="s">
        <v>29</v>
      </c>
      <c r="D6" s="1" t="s">
        <v>19</v>
      </c>
      <c r="E6" s="1" t="s">
        <v>19</v>
      </c>
      <c r="F6" s="1" t="s">
        <v>19</v>
      </c>
      <c r="G6" s="1" t="s">
        <v>19</v>
      </c>
      <c r="H6" s="1" t="s">
        <v>30</v>
      </c>
    </row>
    <row r="7" spans="1:8" ht="103.25" x14ac:dyDescent="0.75">
      <c r="A7" s="1" t="s">
        <v>31</v>
      </c>
      <c r="B7" s="1" t="s">
        <v>32</v>
      </c>
      <c r="C7" s="1" t="s">
        <v>29</v>
      </c>
      <c r="D7" s="1" t="s">
        <v>19</v>
      </c>
      <c r="E7" s="1" t="s">
        <v>19</v>
      </c>
      <c r="F7" s="1" t="s">
        <v>19</v>
      </c>
      <c r="G7" s="1" t="s">
        <v>33</v>
      </c>
      <c r="H7" s="1" t="s">
        <v>19</v>
      </c>
    </row>
    <row r="8" spans="1:8" ht="59" x14ac:dyDescent="0.75">
      <c r="A8" s="1" t="s">
        <v>21</v>
      </c>
      <c r="B8" s="1" t="s">
        <v>25</v>
      </c>
      <c r="C8" s="1" t="s">
        <v>34</v>
      </c>
      <c r="D8" s="1" t="s">
        <v>35</v>
      </c>
      <c r="E8" s="1" t="s">
        <v>19</v>
      </c>
      <c r="F8" s="1" t="s">
        <v>19</v>
      </c>
      <c r="G8" s="1" t="s">
        <v>19</v>
      </c>
      <c r="H8" s="1" t="s">
        <v>19</v>
      </c>
    </row>
    <row r="9" spans="1:8" ht="59" x14ac:dyDescent="0.75">
      <c r="A9" s="1" t="s">
        <v>21</v>
      </c>
      <c r="B9" s="1" t="s">
        <v>25</v>
      </c>
      <c r="C9" s="1" t="s">
        <v>36</v>
      </c>
      <c r="D9" s="1" t="s">
        <v>19</v>
      </c>
      <c r="E9" s="1" t="s">
        <v>19</v>
      </c>
      <c r="F9" s="1" t="s">
        <v>19</v>
      </c>
      <c r="G9" s="1" t="s">
        <v>19</v>
      </c>
      <c r="H9" s="1" t="s">
        <v>19</v>
      </c>
    </row>
    <row r="10" spans="1:8" ht="59" x14ac:dyDescent="0.75">
      <c r="A10" s="1" t="s">
        <v>31</v>
      </c>
      <c r="B10" s="1" t="s">
        <v>17</v>
      </c>
      <c r="C10" s="1" t="s">
        <v>34</v>
      </c>
      <c r="D10" s="1" t="s">
        <v>19</v>
      </c>
      <c r="E10" s="1" t="s">
        <v>19</v>
      </c>
      <c r="F10" s="1" t="s">
        <v>19</v>
      </c>
      <c r="G10" s="1" t="s">
        <v>19</v>
      </c>
      <c r="H10" s="1" t="s">
        <v>19</v>
      </c>
    </row>
    <row r="11" spans="1:8" ht="59" x14ac:dyDescent="0.75">
      <c r="A11" s="1" t="s">
        <v>24</v>
      </c>
      <c r="B11" s="1" t="s">
        <v>37</v>
      </c>
      <c r="C11" s="1" t="s">
        <v>36</v>
      </c>
      <c r="D11" s="1" t="s">
        <v>19</v>
      </c>
      <c r="E11" s="1" t="s">
        <v>19</v>
      </c>
      <c r="F11" s="1" t="s">
        <v>19</v>
      </c>
      <c r="G11" s="1" t="s">
        <v>19</v>
      </c>
      <c r="H11" s="1" t="s">
        <v>38</v>
      </c>
    </row>
    <row r="12" spans="1:8" ht="44.25" x14ac:dyDescent="0.75">
      <c r="A12" s="1" t="s">
        <v>31</v>
      </c>
      <c r="B12" s="1" t="s">
        <v>37</v>
      </c>
      <c r="C12" s="1" t="s">
        <v>39</v>
      </c>
      <c r="D12" s="1" t="s">
        <v>40</v>
      </c>
      <c r="E12" s="1" t="s">
        <v>19</v>
      </c>
      <c r="F12" s="1" t="s">
        <v>19</v>
      </c>
      <c r="G12" s="1" t="s">
        <v>19</v>
      </c>
      <c r="H12" s="1" t="s">
        <v>19</v>
      </c>
    </row>
    <row r="13" spans="1:8" ht="59" x14ac:dyDescent="0.75">
      <c r="A13" s="1" t="s">
        <v>31</v>
      </c>
      <c r="B13" s="1" t="s">
        <v>25</v>
      </c>
      <c r="C13" s="1" t="s">
        <v>39</v>
      </c>
      <c r="D13" s="1" t="s">
        <v>19</v>
      </c>
      <c r="E13" s="1" t="s">
        <v>19</v>
      </c>
      <c r="F13" s="1" t="s">
        <v>19</v>
      </c>
      <c r="G13" s="1" t="s">
        <v>19</v>
      </c>
      <c r="H13" s="1" t="s">
        <v>19</v>
      </c>
    </row>
    <row r="14" spans="1:8" ht="59" x14ac:dyDescent="0.75">
      <c r="A14" s="1" t="s">
        <v>24</v>
      </c>
      <c r="B14" s="1" t="s">
        <v>25</v>
      </c>
      <c r="C14" s="1" t="s">
        <v>41</v>
      </c>
      <c r="D14" s="1" t="s">
        <v>19</v>
      </c>
      <c r="E14" s="1" t="s">
        <v>19</v>
      </c>
      <c r="F14" s="1" t="s">
        <v>19</v>
      </c>
      <c r="G14" s="1" t="s">
        <v>19</v>
      </c>
      <c r="H14" s="1" t="s">
        <v>19</v>
      </c>
    </row>
    <row r="15" spans="1:8" ht="88.5" x14ac:dyDescent="0.75">
      <c r="A15" s="1" t="s">
        <v>24</v>
      </c>
      <c r="B15" s="1" t="s">
        <v>28</v>
      </c>
      <c r="C15" s="1" t="s">
        <v>42</v>
      </c>
      <c r="D15" s="1" t="s">
        <v>19</v>
      </c>
      <c r="E15" s="1" t="s">
        <v>19</v>
      </c>
      <c r="F15" s="1" t="s">
        <v>19</v>
      </c>
      <c r="G15" s="1" t="s">
        <v>19</v>
      </c>
      <c r="H15" s="1" t="s">
        <v>19</v>
      </c>
    </row>
    <row r="16" spans="1:8" ht="59" x14ac:dyDescent="0.75">
      <c r="A16" s="1" t="s">
        <v>21</v>
      </c>
      <c r="B16" s="1" t="s">
        <v>25</v>
      </c>
      <c r="C16" s="1" t="s">
        <v>43</v>
      </c>
      <c r="D16" s="1" t="s">
        <v>19</v>
      </c>
      <c r="E16" s="1" t="s">
        <v>19</v>
      </c>
      <c r="F16" s="1" t="s">
        <v>19</v>
      </c>
      <c r="G16" s="1" t="s">
        <v>44</v>
      </c>
      <c r="H16" s="1" t="s">
        <v>19</v>
      </c>
    </row>
    <row r="17" spans="1:8" ht="29.5" x14ac:dyDescent="0.75">
      <c r="A17" s="1" t="s">
        <v>24</v>
      </c>
      <c r="B17" s="1" t="s">
        <v>22</v>
      </c>
      <c r="C17" s="1" t="s">
        <v>26</v>
      </c>
      <c r="D17" s="1" t="s">
        <v>19</v>
      </c>
      <c r="E17" s="1" t="s">
        <v>19</v>
      </c>
      <c r="F17" s="1" t="s">
        <v>19</v>
      </c>
      <c r="G17" s="1" t="s">
        <v>19</v>
      </c>
      <c r="H17" s="1" t="s">
        <v>19</v>
      </c>
    </row>
    <row r="18" spans="1:8" ht="59" x14ac:dyDescent="0.75">
      <c r="A18" s="1" t="s">
        <v>24</v>
      </c>
      <c r="B18" s="1" t="s">
        <v>25</v>
      </c>
      <c r="C18" s="1" t="s">
        <v>45</v>
      </c>
      <c r="D18" s="1" t="s">
        <v>19</v>
      </c>
      <c r="E18" s="1" t="s">
        <v>19</v>
      </c>
      <c r="F18" s="1" t="s">
        <v>19</v>
      </c>
      <c r="G18" s="1" t="s">
        <v>46</v>
      </c>
      <c r="H18" s="1" t="s">
        <v>19</v>
      </c>
    </row>
    <row r="19" spans="1:8" ht="59" x14ac:dyDescent="0.75">
      <c r="A19" s="1" t="s">
        <v>21</v>
      </c>
      <c r="B19" s="1" t="s">
        <v>17</v>
      </c>
      <c r="C19" s="1" t="s">
        <v>47</v>
      </c>
      <c r="D19" s="1" t="s">
        <v>19</v>
      </c>
      <c r="E19" s="1" t="s">
        <v>19</v>
      </c>
      <c r="F19" s="1" t="s">
        <v>19</v>
      </c>
      <c r="G19" s="1" t="s">
        <v>19</v>
      </c>
      <c r="H19" s="1" t="s">
        <v>19</v>
      </c>
    </row>
    <row r="20" spans="1:8" ht="73.75" x14ac:dyDescent="0.75">
      <c r="A20" s="1" t="s">
        <v>21</v>
      </c>
      <c r="B20" s="1" t="s">
        <v>17</v>
      </c>
      <c r="C20" s="1" t="s">
        <v>48</v>
      </c>
      <c r="D20" s="1" t="s">
        <v>19</v>
      </c>
      <c r="E20" s="1" t="s">
        <v>19</v>
      </c>
      <c r="F20" s="1" t="s">
        <v>19</v>
      </c>
      <c r="G20" s="1" t="s">
        <v>19</v>
      </c>
      <c r="H20" s="1" t="s">
        <v>19</v>
      </c>
    </row>
    <row r="21" spans="1:8" ht="73.75" x14ac:dyDescent="0.75">
      <c r="A21" s="1" t="s">
        <v>24</v>
      </c>
      <c r="B21" s="1" t="s">
        <v>25</v>
      </c>
      <c r="C21" s="1" t="s">
        <v>48</v>
      </c>
      <c r="D21" s="1" t="s">
        <v>19</v>
      </c>
      <c r="E21" s="1" t="s">
        <v>19</v>
      </c>
      <c r="F21" s="1" t="s">
        <v>19</v>
      </c>
      <c r="G21" s="1" t="s">
        <v>19</v>
      </c>
      <c r="H21" s="1" t="s">
        <v>19</v>
      </c>
    </row>
    <row r="22" spans="1:8" ht="88.5" x14ac:dyDescent="0.75">
      <c r="A22" s="1" t="s">
        <v>24</v>
      </c>
      <c r="B22" s="1" t="s">
        <v>28</v>
      </c>
      <c r="C22" s="1" t="s">
        <v>42</v>
      </c>
      <c r="D22" s="1" t="s">
        <v>19</v>
      </c>
      <c r="E22" s="1" t="s">
        <v>19</v>
      </c>
      <c r="F22" s="1" t="s">
        <v>49</v>
      </c>
      <c r="G22" s="1" t="s">
        <v>19</v>
      </c>
      <c r="H22" s="1" t="s">
        <v>19</v>
      </c>
    </row>
    <row r="23" spans="1:8" ht="59" x14ac:dyDescent="0.75">
      <c r="A23" s="1" t="s">
        <v>21</v>
      </c>
      <c r="B23" s="1" t="s">
        <v>25</v>
      </c>
      <c r="C23" s="1" t="s">
        <v>43</v>
      </c>
      <c r="D23" s="1" t="s">
        <v>50</v>
      </c>
      <c r="E23" s="1" t="s">
        <v>19</v>
      </c>
      <c r="F23" s="1" t="s">
        <v>19</v>
      </c>
      <c r="G23" s="1" t="s">
        <v>19</v>
      </c>
      <c r="H23" s="1" t="s">
        <v>19</v>
      </c>
    </row>
    <row r="24" spans="1:8" ht="59" x14ac:dyDescent="0.75">
      <c r="A24" s="1" t="s">
        <v>21</v>
      </c>
      <c r="B24" s="1" t="s">
        <v>25</v>
      </c>
      <c r="C24" s="1" t="s">
        <v>23</v>
      </c>
      <c r="D24" s="1" t="s">
        <v>19</v>
      </c>
      <c r="E24" s="1" t="s">
        <v>19</v>
      </c>
      <c r="F24" s="1" t="s">
        <v>19</v>
      </c>
      <c r="G24" s="1" t="s">
        <v>19</v>
      </c>
      <c r="H24" s="1" t="s">
        <v>19</v>
      </c>
    </row>
    <row r="25" spans="1:8" ht="44.25" x14ac:dyDescent="0.75">
      <c r="A25" s="1" t="s">
        <v>24</v>
      </c>
      <c r="B25" s="1" t="s">
        <v>37</v>
      </c>
      <c r="C25" s="1" t="s">
        <v>26</v>
      </c>
      <c r="D25" s="1" t="s">
        <v>19</v>
      </c>
      <c r="E25" s="1" t="s">
        <v>19</v>
      </c>
      <c r="F25" s="1" t="s">
        <v>51</v>
      </c>
      <c r="G25" s="1" t="s">
        <v>19</v>
      </c>
      <c r="H25" s="1" t="s">
        <v>19</v>
      </c>
    </row>
    <row r="26" spans="1:8" ht="59" x14ac:dyDescent="0.75">
      <c r="A26" s="1" t="s">
        <v>21</v>
      </c>
      <c r="B26" s="1" t="s">
        <v>25</v>
      </c>
      <c r="C26" s="1" t="s">
        <v>43</v>
      </c>
      <c r="D26" s="1" t="s">
        <v>19</v>
      </c>
      <c r="E26" s="1" t="s">
        <v>19</v>
      </c>
      <c r="F26" s="1" t="s">
        <v>52</v>
      </c>
      <c r="G26" s="1" t="s">
        <v>19</v>
      </c>
      <c r="H26" s="1" t="s">
        <v>19</v>
      </c>
    </row>
    <row r="27" spans="1:8" ht="59" x14ac:dyDescent="0.75">
      <c r="A27" s="1" t="s">
        <v>31</v>
      </c>
      <c r="B27" s="1" t="s">
        <v>25</v>
      </c>
      <c r="C27" s="1" t="s">
        <v>43</v>
      </c>
      <c r="D27" s="1" t="s">
        <v>19</v>
      </c>
      <c r="E27" s="1" t="s">
        <v>19</v>
      </c>
      <c r="F27" s="1" t="s">
        <v>19</v>
      </c>
      <c r="G27" s="1" t="s">
        <v>19</v>
      </c>
      <c r="H27" s="1" t="s">
        <v>53</v>
      </c>
    </row>
    <row r="28" spans="1:8" ht="44.25" x14ac:dyDescent="0.75">
      <c r="A28" s="1" t="s">
        <v>24</v>
      </c>
      <c r="B28" s="1" t="s">
        <v>37</v>
      </c>
      <c r="C28" s="1" t="s">
        <v>26</v>
      </c>
      <c r="D28" s="1" t="s">
        <v>19</v>
      </c>
      <c r="E28" s="1" t="s">
        <v>54</v>
      </c>
      <c r="F28" s="1" t="s">
        <v>19</v>
      </c>
      <c r="G28" s="1" t="s">
        <v>19</v>
      </c>
      <c r="H28" s="1" t="s">
        <v>19</v>
      </c>
    </row>
    <row r="29" spans="1:8" ht="59" x14ac:dyDescent="0.75">
      <c r="A29" s="1" t="s">
        <v>21</v>
      </c>
      <c r="B29" s="1" t="s">
        <v>25</v>
      </c>
      <c r="C29" s="1" t="s">
        <v>43</v>
      </c>
      <c r="D29" s="1" t="s">
        <v>55</v>
      </c>
      <c r="E29" s="1" t="s">
        <v>19</v>
      </c>
      <c r="F29" s="1" t="s">
        <v>19</v>
      </c>
      <c r="G29" s="1" t="s">
        <v>19</v>
      </c>
      <c r="H29" s="1" t="s">
        <v>19</v>
      </c>
    </row>
    <row r="30" spans="1:8" ht="88.5" x14ac:dyDescent="0.75">
      <c r="A30" s="1" t="s">
        <v>21</v>
      </c>
      <c r="B30" s="1" t="s">
        <v>28</v>
      </c>
      <c r="C30" s="1" t="s">
        <v>45</v>
      </c>
      <c r="D30" s="1" t="s">
        <v>56</v>
      </c>
      <c r="E30" s="1" t="s">
        <v>19</v>
      </c>
      <c r="F30" s="1" t="s">
        <v>19</v>
      </c>
      <c r="G30" s="1" t="s">
        <v>19</v>
      </c>
      <c r="H30" s="1" t="s">
        <v>19</v>
      </c>
    </row>
    <row r="31" spans="1:8" ht="59" x14ac:dyDescent="0.75">
      <c r="A31" s="1" t="s">
        <v>24</v>
      </c>
      <c r="B31" s="1" t="s">
        <v>25</v>
      </c>
      <c r="C31" s="1" t="s">
        <v>57</v>
      </c>
      <c r="D31" s="1" t="s">
        <v>19</v>
      </c>
      <c r="E31" s="1" t="s">
        <v>19</v>
      </c>
      <c r="F31" s="1" t="s">
        <v>19</v>
      </c>
      <c r="G31" s="1" t="s">
        <v>19</v>
      </c>
      <c r="H31" s="1" t="s">
        <v>19</v>
      </c>
    </row>
    <row r="32" spans="1:8" ht="103.25" x14ac:dyDescent="0.75">
      <c r="A32" s="1" t="s">
        <v>21</v>
      </c>
      <c r="B32" s="1" t="s">
        <v>28</v>
      </c>
      <c r="C32" s="1" t="s">
        <v>29</v>
      </c>
      <c r="D32" s="1" t="s">
        <v>19</v>
      </c>
      <c r="E32" s="1" t="s">
        <v>19</v>
      </c>
      <c r="F32" s="1" t="s">
        <v>19</v>
      </c>
      <c r="G32" s="1" t="s">
        <v>19</v>
      </c>
      <c r="H32" s="1" t="s">
        <v>19</v>
      </c>
    </row>
    <row r="33" spans="1:8" ht="59" x14ac:dyDescent="0.75">
      <c r="A33" s="1" t="s">
        <v>21</v>
      </c>
      <c r="B33" s="1" t="s">
        <v>25</v>
      </c>
      <c r="C33" s="1" t="s">
        <v>43</v>
      </c>
      <c r="D33" s="1" t="s">
        <v>19</v>
      </c>
      <c r="E33" s="1" t="s">
        <v>19</v>
      </c>
      <c r="F33" s="1" t="s">
        <v>19</v>
      </c>
      <c r="G33" s="1" t="s">
        <v>19</v>
      </c>
      <c r="H33" s="1" t="s">
        <v>19</v>
      </c>
    </row>
    <row r="34" spans="1:8" ht="59" x14ac:dyDescent="0.75">
      <c r="A34" s="1" t="s">
        <v>21</v>
      </c>
      <c r="B34" s="1" t="s">
        <v>22</v>
      </c>
      <c r="C34" s="1" t="s">
        <v>58</v>
      </c>
      <c r="D34" s="1" t="s">
        <v>19</v>
      </c>
      <c r="E34" s="1" t="s">
        <v>19</v>
      </c>
      <c r="F34" s="1" t="s">
        <v>19</v>
      </c>
      <c r="G34" s="1" t="s">
        <v>19</v>
      </c>
      <c r="H34" s="1" t="s">
        <v>19</v>
      </c>
    </row>
    <row r="35" spans="1:8" ht="59" x14ac:dyDescent="0.75">
      <c r="A35" s="1" t="s">
        <v>24</v>
      </c>
      <c r="B35" s="1" t="s">
        <v>25</v>
      </c>
      <c r="C35" s="1" t="s">
        <v>26</v>
      </c>
      <c r="D35" s="1" t="s">
        <v>19</v>
      </c>
      <c r="E35" s="1" t="s">
        <v>19</v>
      </c>
      <c r="F35" s="1" t="s">
        <v>59</v>
      </c>
      <c r="G35" s="1" t="s">
        <v>19</v>
      </c>
      <c r="H35" s="1" t="s">
        <v>19</v>
      </c>
    </row>
    <row r="36" spans="1:8" ht="59" x14ac:dyDescent="0.75">
      <c r="A36" s="1" t="s">
        <v>24</v>
      </c>
      <c r="B36" s="1" t="s">
        <v>25</v>
      </c>
      <c r="C36" s="1" t="s">
        <v>43</v>
      </c>
      <c r="D36" s="1" t="s">
        <v>19</v>
      </c>
      <c r="E36" s="1" t="s">
        <v>19</v>
      </c>
      <c r="F36" s="1" t="s">
        <v>19</v>
      </c>
      <c r="G36" s="1" t="s">
        <v>19</v>
      </c>
      <c r="H36" s="1" t="s">
        <v>19</v>
      </c>
    </row>
    <row r="37" spans="1:8" ht="88.5" x14ac:dyDescent="0.75">
      <c r="A37" s="1" t="s">
        <v>21</v>
      </c>
      <c r="B37" s="1" t="s">
        <v>28</v>
      </c>
      <c r="C37" s="1" t="s">
        <v>41</v>
      </c>
      <c r="D37" s="1" t="s">
        <v>19</v>
      </c>
      <c r="E37" s="1" t="s">
        <v>19</v>
      </c>
      <c r="F37" s="1" t="s">
        <v>19</v>
      </c>
      <c r="G37" s="1" t="s">
        <v>60</v>
      </c>
      <c r="H37" s="1" t="s">
        <v>19</v>
      </c>
    </row>
    <row r="38" spans="1:8" ht="59" x14ac:dyDescent="0.75">
      <c r="A38" s="1" t="s">
        <v>24</v>
      </c>
      <c r="B38" s="1" t="s">
        <v>17</v>
      </c>
      <c r="C38" s="1" t="s">
        <v>36</v>
      </c>
      <c r="D38" s="1" t="s">
        <v>61</v>
      </c>
      <c r="E38" s="1" t="s">
        <v>19</v>
      </c>
      <c r="F38" s="1" t="s">
        <v>19</v>
      </c>
      <c r="G38" s="1" t="s">
        <v>19</v>
      </c>
      <c r="H38" s="1" t="s">
        <v>19</v>
      </c>
    </row>
    <row r="39" spans="1:8" ht="59" x14ac:dyDescent="0.75">
      <c r="A39" s="1" t="s">
        <v>21</v>
      </c>
      <c r="B39" s="1" t="s">
        <v>25</v>
      </c>
      <c r="C39" s="1" t="s">
        <v>42</v>
      </c>
      <c r="D39" s="1" t="s">
        <v>19</v>
      </c>
      <c r="E39" s="1" t="s">
        <v>19</v>
      </c>
      <c r="F39" s="1" t="s">
        <v>19</v>
      </c>
      <c r="G39" s="1" t="s">
        <v>62</v>
      </c>
      <c r="H39" s="1" t="s">
        <v>19</v>
      </c>
    </row>
    <row r="40" spans="1:8" ht="44.25" x14ac:dyDescent="0.75">
      <c r="A40" s="1" t="s">
        <v>63</v>
      </c>
      <c r="B40" s="1" t="s">
        <v>22</v>
      </c>
      <c r="C40" s="1" t="s">
        <v>64</v>
      </c>
      <c r="D40" s="1" t="s">
        <v>19</v>
      </c>
      <c r="E40" s="1" t="s">
        <v>19</v>
      </c>
      <c r="F40" s="1" t="s">
        <v>19</v>
      </c>
      <c r="G40" s="1" t="s">
        <v>19</v>
      </c>
      <c r="H40" s="1" t="s">
        <v>19</v>
      </c>
    </row>
    <row r="41" spans="1:8" ht="59" x14ac:dyDescent="0.75">
      <c r="A41" s="1" t="s">
        <v>16</v>
      </c>
      <c r="B41" s="1" t="s">
        <v>25</v>
      </c>
      <c r="C41" s="1" t="s">
        <v>64</v>
      </c>
      <c r="D41" s="1" t="s">
        <v>19</v>
      </c>
      <c r="E41" s="1" t="s">
        <v>19</v>
      </c>
      <c r="F41" s="1" t="s">
        <v>19</v>
      </c>
      <c r="G41" s="1" t="s">
        <v>19</v>
      </c>
      <c r="H41" s="1" t="s">
        <v>19</v>
      </c>
    </row>
    <row r="42" spans="1:8" ht="59" x14ac:dyDescent="0.75">
      <c r="A42" s="1" t="s">
        <v>65</v>
      </c>
      <c r="B42" s="1" t="s">
        <v>37</v>
      </c>
      <c r="C42" s="1" t="s">
        <v>41</v>
      </c>
      <c r="D42" s="1" t="s">
        <v>19</v>
      </c>
      <c r="E42" s="1" t="s">
        <v>19</v>
      </c>
      <c r="F42" s="1" t="s">
        <v>19</v>
      </c>
      <c r="G42" s="1" t="s">
        <v>19</v>
      </c>
      <c r="H42" s="1" t="s">
        <v>19</v>
      </c>
    </row>
    <row r="43" spans="1:8" ht="29.5" x14ac:dyDescent="0.75">
      <c r="A43" s="1" t="s">
        <v>31</v>
      </c>
      <c r="B43" s="1" t="s">
        <v>22</v>
      </c>
      <c r="C43" s="1" t="s">
        <v>39</v>
      </c>
      <c r="D43" s="1" t="s">
        <v>19</v>
      </c>
      <c r="E43" s="1" t="s">
        <v>19</v>
      </c>
      <c r="F43" s="1" t="s">
        <v>19</v>
      </c>
      <c r="G43" s="1" t="s">
        <v>19</v>
      </c>
      <c r="H43" s="1" t="s">
        <v>19</v>
      </c>
    </row>
    <row r="44" spans="1:8" ht="59" x14ac:dyDescent="0.75">
      <c r="A44" s="1" t="s">
        <v>16</v>
      </c>
      <c r="B44" s="1" t="s">
        <v>25</v>
      </c>
      <c r="C44" s="1" t="s">
        <v>41</v>
      </c>
      <c r="D44" s="1" t="s">
        <v>19</v>
      </c>
      <c r="E44" s="1" t="s">
        <v>19</v>
      </c>
      <c r="F44" s="1" t="s">
        <v>19</v>
      </c>
      <c r="G44" s="1" t="s">
        <v>19</v>
      </c>
      <c r="H44" s="1" t="s">
        <v>19</v>
      </c>
    </row>
    <row r="45" spans="1:8" ht="103.25" x14ac:dyDescent="0.75">
      <c r="A45" s="1" t="s">
        <v>24</v>
      </c>
      <c r="B45" s="1" t="s">
        <v>25</v>
      </c>
      <c r="C45" s="1" t="s">
        <v>29</v>
      </c>
      <c r="D45" s="1" t="s">
        <v>19</v>
      </c>
      <c r="E45" s="1" t="s">
        <v>66</v>
      </c>
      <c r="F45" s="1" t="s">
        <v>19</v>
      </c>
      <c r="G45" s="1" t="s">
        <v>19</v>
      </c>
      <c r="H45" s="1" t="s">
        <v>19</v>
      </c>
    </row>
    <row r="46" spans="1:8" ht="29.5" x14ac:dyDescent="0.75">
      <c r="A46" s="1" t="s">
        <v>24</v>
      </c>
      <c r="B46" s="1" t="s">
        <v>22</v>
      </c>
      <c r="C46" s="1" t="s">
        <v>26</v>
      </c>
      <c r="D46" s="1" t="s">
        <v>19</v>
      </c>
      <c r="E46" s="1" t="s">
        <v>19</v>
      </c>
      <c r="F46" s="1" t="s">
        <v>19</v>
      </c>
      <c r="G46" s="1" t="s">
        <v>19</v>
      </c>
      <c r="H46" s="1" t="s">
        <v>19</v>
      </c>
    </row>
    <row r="47" spans="1:8" ht="59" x14ac:dyDescent="0.75">
      <c r="A47" s="1" t="s">
        <v>21</v>
      </c>
      <c r="B47" s="1" t="s">
        <v>25</v>
      </c>
      <c r="C47" s="1" t="s">
        <v>45</v>
      </c>
      <c r="D47" s="1" t="s">
        <v>19</v>
      </c>
      <c r="E47" s="1" t="s">
        <v>67</v>
      </c>
      <c r="F47" s="1" t="s">
        <v>19</v>
      </c>
      <c r="G47" s="1" t="s">
        <v>19</v>
      </c>
      <c r="H47" s="1" t="s">
        <v>19</v>
      </c>
    </row>
    <row r="48" spans="1:8" ht="88.5" x14ac:dyDescent="0.75">
      <c r="A48" s="1" t="s">
        <v>21</v>
      </c>
      <c r="B48" s="1" t="s">
        <v>28</v>
      </c>
      <c r="C48" s="1" t="s">
        <v>26</v>
      </c>
      <c r="D48" s="1" t="s">
        <v>19</v>
      </c>
      <c r="E48" s="1" t="s">
        <v>68</v>
      </c>
      <c r="F48" s="1" t="s">
        <v>19</v>
      </c>
      <c r="G48" s="1" t="s">
        <v>19</v>
      </c>
      <c r="H48" s="1" t="s">
        <v>19</v>
      </c>
    </row>
    <row r="49" spans="1:8" ht="59" x14ac:dyDescent="0.75">
      <c r="A49" s="1" t="s">
        <v>16</v>
      </c>
      <c r="B49" s="1" t="s">
        <v>37</v>
      </c>
      <c r="C49" s="1" t="s">
        <v>69</v>
      </c>
      <c r="D49" s="1" t="s">
        <v>19</v>
      </c>
      <c r="E49" s="1" t="s">
        <v>19</v>
      </c>
      <c r="F49" s="1" t="s">
        <v>70</v>
      </c>
      <c r="G49" s="1" t="s">
        <v>19</v>
      </c>
      <c r="H49" s="1" t="s">
        <v>19</v>
      </c>
    </row>
    <row r="50" spans="1:8" ht="44.25" x14ac:dyDescent="0.75">
      <c r="A50" s="1" t="s">
        <v>16</v>
      </c>
      <c r="B50" s="1" t="s">
        <v>37</v>
      </c>
      <c r="C50" s="1" t="s">
        <v>43</v>
      </c>
      <c r="D50" s="1" t="s">
        <v>19</v>
      </c>
      <c r="E50" s="1" t="s">
        <v>19</v>
      </c>
      <c r="F50" s="1" t="s">
        <v>19</v>
      </c>
      <c r="G50" s="1" t="s">
        <v>71</v>
      </c>
      <c r="H50" s="1" t="s">
        <v>19</v>
      </c>
    </row>
    <row r="51" spans="1:8" ht="59" x14ac:dyDescent="0.75">
      <c r="A51" s="1" t="s">
        <v>16</v>
      </c>
      <c r="B51" s="1" t="s">
        <v>25</v>
      </c>
      <c r="C51" s="1" t="s">
        <v>43</v>
      </c>
      <c r="D51" s="1" t="s">
        <v>19</v>
      </c>
      <c r="E51" s="1" t="s">
        <v>19</v>
      </c>
      <c r="F51" s="1" t="s">
        <v>19</v>
      </c>
      <c r="G51" s="1" t="s">
        <v>19</v>
      </c>
      <c r="H51" s="1" t="s">
        <v>19</v>
      </c>
    </row>
    <row r="52" spans="1:8" ht="88.5" x14ac:dyDescent="0.75">
      <c r="A52" s="1" t="s">
        <v>21</v>
      </c>
      <c r="B52" s="1" t="s">
        <v>28</v>
      </c>
      <c r="C52" s="1" t="s">
        <v>57</v>
      </c>
      <c r="D52" s="1" t="s">
        <v>19</v>
      </c>
      <c r="E52" s="1" t="s">
        <v>19</v>
      </c>
      <c r="F52" s="1" t="s">
        <v>19</v>
      </c>
      <c r="G52" s="1" t="s">
        <v>72</v>
      </c>
      <c r="H52" s="1" t="s">
        <v>19</v>
      </c>
    </row>
    <row r="53" spans="1:8" ht="59" x14ac:dyDescent="0.75">
      <c r="A53" s="1" t="s">
        <v>24</v>
      </c>
      <c r="B53" s="1" t="s">
        <v>25</v>
      </c>
      <c r="C53" s="1" t="s">
        <v>47</v>
      </c>
      <c r="D53" s="1" t="s">
        <v>19</v>
      </c>
      <c r="E53" s="1" t="s">
        <v>19</v>
      </c>
      <c r="F53" s="1" t="s">
        <v>19</v>
      </c>
      <c r="G53" s="1" t="s">
        <v>19</v>
      </c>
      <c r="H53" s="1" t="s">
        <v>73</v>
      </c>
    </row>
    <row r="54" spans="1:8" ht="88.5" x14ac:dyDescent="0.75">
      <c r="A54" s="1" t="s">
        <v>31</v>
      </c>
      <c r="B54" s="1" t="s">
        <v>74</v>
      </c>
      <c r="C54" s="1" t="s">
        <v>45</v>
      </c>
      <c r="D54" s="1" t="s">
        <v>19</v>
      </c>
      <c r="E54" s="1" t="s">
        <v>19</v>
      </c>
      <c r="F54" s="1" t="s">
        <v>19</v>
      </c>
      <c r="G54" s="1" t="s">
        <v>19</v>
      </c>
      <c r="H54" s="1" t="s">
        <v>19</v>
      </c>
    </row>
    <row r="55" spans="1:8" ht="59" x14ac:dyDescent="0.75">
      <c r="A55" s="1" t="s">
        <v>63</v>
      </c>
      <c r="B55" s="1" t="s">
        <v>25</v>
      </c>
      <c r="C55" s="1" t="s">
        <v>47</v>
      </c>
      <c r="D55" s="1" t="s">
        <v>19</v>
      </c>
      <c r="E55" s="1" t="s">
        <v>19</v>
      </c>
      <c r="F55" s="1" t="s">
        <v>19</v>
      </c>
      <c r="G55" s="1" t="s">
        <v>19</v>
      </c>
      <c r="H55" s="1" t="s">
        <v>19</v>
      </c>
    </row>
    <row r="56" spans="1:8" ht="88.5" x14ac:dyDescent="0.75">
      <c r="A56" s="1" t="s">
        <v>21</v>
      </c>
      <c r="B56" s="1" t="s">
        <v>32</v>
      </c>
      <c r="C56" s="1" t="s">
        <v>75</v>
      </c>
      <c r="D56" s="1" t="s">
        <v>19</v>
      </c>
      <c r="E56" s="1" t="s">
        <v>76</v>
      </c>
      <c r="F56" s="1" t="s">
        <v>19</v>
      </c>
      <c r="G56" s="1" t="s">
        <v>19</v>
      </c>
      <c r="H56" s="1" t="s">
        <v>19</v>
      </c>
    </row>
    <row r="57" spans="1:8" ht="88.5" x14ac:dyDescent="0.75">
      <c r="A57" s="1" t="s">
        <v>24</v>
      </c>
      <c r="B57" s="1" t="s">
        <v>28</v>
      </c>
      <c r="C57" s="1" t="s">
        <v>45</v>
      </c>
      <c r="D57" s="1" t="s">
        <v>19</v>
      </c>
      <c r="E57" s="1" t="s">
        <v>19</v>
      </c>
      <c r="F57" s="1" t="s">
        <v>19</v>
      </c>
      <c r="G57" s="1" t="s">
        <v>19</v>
      </c>
      <c r="H57" s="1" t="s">
        <v>77</v>
      </c>
    </row>
    <row r="58" spans="1:8" ht="29.5" x14ac:dyDescent="0.75">
      <c r="A58" s="1" t="s">
        <v>21</v>
      </c>
      <c r="B58" s="1" t="s">
        <v>22</v>
      </c>
      <c r="C58" s="1" t="s">
        <v>26</v>
      </c>
      <c r="D58" s="1" t="s">
        <v>19</v>
      </c>
      <c r="E58" s="1" t="s">
        <v>19</v>
      </c>
      <c r="F58" s="1" t="s">
        <v>19</v>
      </c>
      <c r="G58" s="1" t="s">
        <v>19</v>
      </c>
      <c r="H58" s="1" t="s">
        <v>19</v>
      </c>
    </row>
    <row r="59" spans="1:8" ht="88.5" x14ac:dyDescent="0.75">
      <c r="A59" s="1" t="s">
        <v>63</v>
      </c>
      <c r="B59" s="1" t="s">
        <v>28</v>
      </c>
      <c r="C59" s="1" t="s">
        <v>39</v>
      </c>
      <c r="D59" s="1" t="s">
        <v>19</v>
      </c>
      <c r="E59" s="1" t="s">
        <v>19</v>
      </c>
      <c r="F59" s="1" t="s">
        <v>19</v>
      </c>
      <c r="G59" s="1" t="s">
        <v>19</v>
      </c>
      <c r="H59" s="1" t="s">
        <v>19</v>
      </c>
    </row>
    <row r="60" spans="1:8" ht="29.5" x14ac:dyDescent="0.75">
      <c r="A60" s="1" t="s">
        <v>78</v>
      </c>
      <c r="B60" s="1" t="s">
        <v>22</v>
      </c>
      <c r="C60" s="1" t="s">
        <v>39</v>
      </c>
      <c r="D60" s="1" t="s">
        <v>19</v>
      </c>
      <c r="E60" s="1" t="s">
        <v>19</v>
      </c>
      <c r="F60" s="1" t="s">
        <v>79</v>
      </c>
      <c r="G60" s="1" t="s">
        <v>19</v>
      </c>
      <c r="H60" s="1" t="s">
        <v>19</v>
      </c>
    </row>
    <row r="61" spans="1:8" ht="59" x14ac:dyDescent="0.75">
      <c r="A61" s="1" t="s">
        <v>65</v>
      </c>
      <c r="B61" s="1" t="s">
        <v>25</v>
      </c>
      <c r="C61" s="1" t="s">
        <v>80</v>
      </c>
      <c r="D61" s="1" t="s">
        <v>19</v>
      </c>
      <c r="E61" s="1" t="s">
        <v>19</v>
      </c>
      <c r="F61" s="1" t="s">
        <v>19</v>
      </c>
      <c r="G61" s="1" t="s">
        <v>19</v>
      </c>
      <c r="H61" s="1" t="s">
        <v>81</v>
      </c>
    </row>
    <row r="62" spans="1:8" ht="44.25" x14ac:dyDescent="0.75">
      <c r="A62" s="1" t="s">
        <v>24</v>
      </c>
      <c r="B62" s="1" t="s">
        <v>22</v>
      </c>
      <c r="C62" s="1" t="s">
        <v>64</v>
      </c>
      <c r="D62" s="1" t="s">
        <v>19</v>
      </c>
      <c r="E62" s="1" t="s">
        <v>19</v>
      </c>
      <c r="F62" s="1" t="s">
        <v>19</v>
      </c>
      <c r="G62" s="1" t="s">
        <v>19</v>
      </c>
      <c r="H62" s="1" t="s">
        <v>19</v>
      </c>
    </row>
    <row r="63" spans="1:8" ht="88.5" x14ac:dyDescent="0.75">
      <c r="A63" s="1" t="s">
        <v>21</v>
      </c>
      <c r="B63" s="1" t="s">
        <v>28</v>
      </c>
      <c r="C63" s="1" t="s">
        <v>26</v>
      </c>
      <c r="D63" s="1" t="s">
        <v>19</v>
      </c>
      <c r="E63" s="1" t="s">
        <v>19</v>
      </c>
      <c r="F63" s="1" t="s">
        <v>19</v>
      </c>
      <c r="G63" s="1" t="s">
        <v>19</v>
      </c>
      <c r="H63" s="1" t="s">
        <v>19</v>
      </c>
    </row>
    <row r="64" spans="1:8" ht="73.75" x14ac:dyDescent="0.75">
      <c r="A64" s="1" t="s">
        <v>16</v>
      </c>
      <c r="B64" s="1" t="s">
        <v>17</v>
      </c>
      <c r="C64" s="1" t="s">
        <v>48</v>
      </c>
      <c r="D64" s="1" t="s">
        <v>19</v>
      </c>
      <c r="E64" s="1" t="s">
        <v>19</v>
      </c>
      <c r="F64" s="1" t="s">
        <v>19</v>
      </c>
      <c r="G64" s="1" t="s">
        <v>19</v>
      </c>
      <c r="H64" s="1" t="s">
        <v>19</v>
      </c>
    </row>
    <row r="65" spans="1:8" ht="59" x14ac:dyDescent="0.75">
      <c r="A65" s="1" t="s">
        <v>65</v>
      </c>
      <c r="B65" s="1" t="s">
        <v>25</v>
      </c>
      <c r="C65" s="1" t="s">
        <v>57</v>
      </c>
      <c r="D65" s="1" t="s">
        <v>82</v>
      </c>
      <c r="E65" s="1" t="s">
        <v>19</v>
      </c>
      <c r="F65" s="1" t="s">
        <v>19</v>
      </c>
      <c r="G65" s="1" t="s">
        <v>19</v>
      </c>
      <c r="H65" s="1" t="s">
        <v>19</v>
      </c>
    </row>
    <row r="66" spans="1:8" ht="59" x14ac:dyDescent="0.75">
      <c r="A66" s="1" t="s">
        <v>21</v>
      </c>
      <c r="B66" s="1" t="s">
        <v>17</v>
      </c>
      <c r="C66" s="1" t="s">
        <v>43</v>
      </c>
      <c r="D66" s="1" t="s">
        <v>19</v>
      </c>
      <c r="E66" s="1" t="s">
        <v>19</v>
      </c>
      <c r="F66" s="1" t="s">
        <v>19</v>
      </c>
      <c r="G66" s="1" t="s">
        <v>19</v>
      </c>
      <c r="H66" s="1" t="s">
        <v>19</v>
      </c>
    </row>
    <row r="67" spans="1:8" ht="59" x14ac:dyDescent="0.75">
      <c r="A67" s="1" t="s">
        <v>21</v>
      </c>
      <c r="B67" s="1" t="s">
        <v>17</v>
      </c>
      <c r="C67" s="1" t="s">
        <v>45</v>
      </c>
      <c r="D67" s="1" t="s">
        <v>19</v>
      </c>
      <c r="E67" s="1" t="s">
        <v>19</v>
      </c>
      <c r="F67" s="1" t="s">
        <v>19</v>
      </c>
      <c r="G67" s="1" t="s">
        <v>19</v>
      </c>
      <c r="H67" s="1" t="s">
        <v>19</v>
      </c>
    </row>
    <row r="68" spans="1:8" ht="44.25" x14ac:dyDescent="0.75">
      <c r="A68" s="1" t="s">
        <v>24</v>
      </c>
      <c r="B68" s="1" t="s">
        <v>22</v>
      </c>
      <c r="C68" s="1" t="s">
        <v>42</v>
      </c>
      <c r="D68" s="1" t="s">
        <v>19</v>
      </c>
      <c r="E68" s="1" t="s">
        <v>19</v>
      </c>
      <c r="F68" s="1" t="s">
        <v>19</v>
      </c>
      <c r="G68" s="1" t="s">
        <v>19</v>
      </c>
      <c r="H68" s="1" t="s">
        <v>19</v>
      </c>
    </row>
    <row r="69" spans="1:8" ht="59" x14ac:dyDescent="0.75">
      <c r="A69" s="1" t="s">
        <v>16</v>
      </c>
      <c r="B69" s="1" t="s">
        <v>17</v>
      </c>
      <c r="C69" s="1" t="s">
        <v>43</v>
      </c>
      <c r="D69" s="1" t="s">
        <v>83</v>
      </c>
      <c r="E69" s="1" t="s">
        <v>19</v>
      </c>
      <c r="F69" s="1" t="s">
        <v>19</v>
      </c>
      <c r="G69" s="1" t="s">
        <v>19</v>
      </c>
      <c r="H69" s="1" t="s">
        <v>19</v>
      </c>
    </row>
    <row r="70" spans="1:8" ht="59" x14ac:dyDescent="0.75">
      <c r="A70" s="1" t="s">
        <v>65</v>
      </c>
      <c r="B70" s="1" t="s">
        <v>17</v>
      </c>
      <c r="C70" s="1" t="s">
        <v>43</v>
      </c>
      <c r="D70" s="1" t="s">
        <v>19</v>
      </c>
      <c r="E70" s="1" t="s">
        <v>19</v>
      </c>
      <c r="F70" s="1" t="s">
        <v>19</v>
      </c>
      <c r="G70" s="1" t="s">
        <v>19</v>
      </c>
      <c r="H70" s="1" t="s">
        <v>19</v>
      </c>
    </row>
    <row r="71" spans="1:8" ht="88.5" x14ac:dyDescent="0.75">
      <c r="A71" s="1" t="s">
        <v>65</v>
      </c>
      <c r="B71" s="1" t="s">
        <v>32</v>
      </c>
      <c r="C71" s="1" t="s">
        <v>18</v>
      </c>
      <c r="D71" s="1" t="s">
        <v>19</v>
      </c>
      <c r="E71" s="1" t="s">
        <v>19</v>
      </c>
      <c r="F71" s="1" t="s">
        <v>19</v>
      </c>
      <c r="G71" s="1" t="s">
        <v>19</v>
      </c>
      <c r="H71" s="1" t="s">
        <v>84</v>
      </c>
    </row>
    <row r="72" spans="1:8" ht="59" x14ac:dyDescent="0.75">
      <c r="A72" s="1" t="s">
        <v>24</v>
      </c>
      <c r="B72" s="1" t="s">
        <v>25</v>
      </c>
      <c r="C72" s="1" t="s">
        <v>43</v>
      </c>
      <c r="D72" s="1" t="s">
        <v>19</v>
      </c>
      <c r="E72" s="1" t="s">
        <v>19</v>
      </c>
      <c r="F72" s="1" t="s">
        <v>19</v>
      </c>
      <c r="G72" s="1" t="s">
        <v>19</v>
      </c>
      <c r="H72" s="1" t="s">
        <v>19</v>
      </c>
    </row>
    <row r="73" spans="1:8" ht="88.5" x14ac:dyDescent="0.75">
      <c r="A73" s="1" t="s">
        <v>24</v>
      </c>
      <c r="B73" s="1" t="s">
        <v>32</v>
      </c>
      <c r="C73" s="1" t="s">
        <v>43</v>
      </c>
      <c r="D73" s="1" t="s">
        <v>19</v>
      </c>
      <c r="E73" s="1" t="s">
        <v>19</v>
      </c>
      <c r="F73" s="1" t="s">
        <v>19</v>
      </c>
      <c r="G73" s="1" t="s">
        <v>19</v>
      </c>
      <c r="H73" s="1" t="s">
        <v>85</v>
      </c>
    </row>
    <row r="74" spans="1:8" ht="88.5" x14ac:dyDescent="0.75">
      <c r="A74" s="1" t="s">
        <v>21</v>
      </c>
      <c r="B74" s="1" t="s">
        <v>74</v>
      </c>
      <c r="C74" s="1" t="s">
        <v>80</v>
      </c>
      <c r="D74" s="1" t="s">
        <v>19</v>
      </c>
      <c r="E74" s="1" t="s">
        <v>19</v>
      </c>
      <c r="F74" s="1" t="s">
        <v>19</v>
      </c>
      <c r="G74" s="1" t="s">
        <v>19</v>
      </c>
      <c r="H74" s="1" t="s">
        <v>19</v>
      </c>
    </row>
    <row r="75" spans="1:8" ht="103.25" x14ac:dyDescent="0.75">
      <c r="A75" s="1" t="s">
        <v>21</v>
      </c>
      <c r="B75" s="1" t="s">
        <v>25</v>
      </c>
      <c r="C75" s="1" t="s">
        <v>29</v>
      </c>
      <c r="D75" s="1" t="s">
        <v>19</v>
      </c>
      <c r="E75" s="1" t="s">
        <v>19</v>
      </c>
      <c r="F75" s="1" t="s">
        <v>86</v>
      </c>
      <c r="G75" s="1" t="s">
        <v>19</v>
      </c>
      <c r="H75" s="1" t="s">
        <v>19</v>
      </c>
    </row>
    <row r="76" spans="1:8" ht="88.5" x14ac:dyDescent="0.75">
      <c r="A76" s="1" t="s">
        <v>24</v>
      </c>
      <c r="B76" s="1" t="s">
        <v>32</v>
      </c>
      <c r="C76" s="1" t="s">
        <v>42</v>
      </c>
      <c r="D76" s="1" t="s">
        <v>87</v>
      </c>
      <c r="E76" s="1" t="s">
        <v>19</v>
      </c>
      <c r="F76" s="1" t="s">
        <v>19</v>
      </c>
      <c r="G76" s="1" t="s">
        <v>19</v>
      </c>
      <c r="H76" s="1" t="s">
        <v>19</v>
      </c>
    </row>
    <row r="77" spans="1:8" ht="59" x14ac:dyDescent="0.75">
      <c r="A77" s="1" t="s">
        <v>21</v>
      </c>
      <c r="B77" s="1" t="s">
        <v>25</v>
      </c>
      <c r="C77" s="1" t="s">
        <v>80</v>
      </c>
      <c r="D77" s="1" t="s">
        <v>19</v>
      </c>
      <c r="E77" s="1" t="s">
        <v>19</v>
      </c>
      <c r="F77" s="1" t="s">
        <v>19</v>
      </c>
      <c r="G77" s="1" t="s">
        <v>19</v>
      </c>
      <c r="H77" s="1" t="s">
        <v>19</v>
      </c>
    </row>
    <row r="78" spans="1:8" ht="59" x14ac:dyDescent="0.75">
      <c r="A78" s="1" t="s">
        <v>65</v>
      </c>
      <c r="B78" s="1" t="s">
        <v>25</v>
      </c>
      <c r="C78" s="1" t="s">
        <v>57</v>
      </c>
      <c r="D78" s="1" t="s">
        <v>19</v>
      </c>
      <c r="E78" s="1" t="s">
        <v>19</v>
      </c>
      <c r="F78" s="1" t="s">
        <v>88</v>
      </c>
      <c r="G78" s="1" t="s">
        <v>19</v>
      </c>
      <c r="H78" s="1" t="s">
        <v>19</v>
      </c>
    </row>
    <row r="79" spans="1:8" ht="88.5" x14ac:dyDescent="0.75">
      <c r="A79" s="1" t="s">
        <v>21</v>
      </c>
      <c r="B79" s="1" t="s">
        <v>32</v>
      </c>
      <c r="C79" s="1" t="s">
        <v>34</v>
      </c>
      <c r="D79" s="1" t="s">
        <v>19</v>
      </c>
      <c r="E79" s="1" t="s">
        <v>19</v>
      </c>
      <c r="F79" s="1" t="s">
        <v>19</v>
      </c>
      <c r="G79" s="1" t="s">
        <v>19</v>
      </c>
      <c r="H79" s="1" t="s">
        <v>89</v>
      </c>
    </row>
    <row r="80" spans="1:8" ht="88.5" x14ac:dyDescent="0.75">
      <c r="A80" s="1" t="s">
        <v>31</v>
      </c>
      <c r="B80" s="1" t="s">
        <v>32</v>
      </c>
      <c r="C80" s="1" t="s">
        <v>43</v>
      </c>
      <c r="D80" s="1" t="s">
        <v>19</v>
      </c>
      <c r="E80" s="1" t="s">
        <v>19</v>
      </c>
      <c r="F80" s="1" t="s">
        <v>19</v>
      </c>
      <c r="G80" s="1" t="s">
        <v>90</v>
      </c>
      <c r="H80" s="1" t="s">
        <v>19</v>
      </c>
    </row>
    <row r="81" spans="1:8" ht="59" x14ac:dyDescent="0.75">
      <c r="A81" s="1" t="s">
        <v>65</v>
      </c>
      <c r="B81" s="1" t="s">
        <v>25</v>
      </c>
      <c r="C81" s="1" t="s">
        <v>18</v>
      </c>
      <c r="D81" s="1" t="s">
        <v>19</v>
      </c>
      <c r="E81" s="1" t="s">
        <v>19</v>
      </c>
      <c r="F81" s="1" t="s">
        <v>19</v>
      </c>
      <c r="G81" s="1" t="s">
        <v>19</v>
      </c>
      <c r="H81" s="1" t="s">
        <v>19</v>
      </c>
    </row>
    <row r="82" spans="1:8" ht="88.5" x14ac:dyDescent="0.75">
      <c r="A82" s="1" t="s">
        <v>31</v>
      </c>
      <c r="B82" s="1" t="s">
        <v>28</v>
      </c>
      <c r="C82" s="1" t="s">
        <v>39</v>
      </c>
      <c r="D82" s="1" t="s">
        <v>19</v>
      </c>
      <c r="E82" s="1" t="s">
        <v>19</v>
      </c>
      <c r="F82" s="1" t="s">
        <v>19</v>
      </c>
      <c r="G82" s="1" t="s">
        <v>19</v>
      </c>
      <c r="H82" s="1" t="s">
        <v>19</v>
      </c>
    </row>
    <row r="83" spans="1:8" ht="88.5" x14ac:dyDescent="0.75">
      <c r="A83" s="1" t="s">
        <v>65</v>
      </c>
      <c r="B83" s="1" t="s">
        <v>32</v>
      </c>
      <c r="C83" s="1" t="s">
        <v>41</v>
      </c>
      <c r="D83" s="1" t="s">
        <v>19</v>
      </c>
      <c r="E83" s="1" t="s">
        <v>19</v>
      </c>
      <c r="F83" s="1" t="s">
        <v>19</v>
      </c>
      <c r="G83" s="1" t="s">
        <v>19</v>
      </c>
      <c r="H83" s="1" t="s">
        <v>19</v>
      </c>
    </row>
    <row r="84" spans="1:8" ht="59" x14ac:dyDescent="0.75">
      <c r="A84" s="1" t="s">
        <v>24</v>
      </c>
      <c r="B84" s="1" t="s">
        <v>17</v>
      </c>
      <c r="C84" s="1" t="s">
        <v>34</v>
      </c>
      <c r="D84" s="1" t="s">
        <v>19</v>
      </c>
      <c r="E84" s="1" t="s">
        <v>19</v>
      </c>
      <c r="F84" s="1" t="s">
        <v>19</v>
      </c>
      <c r="G84" s="1" t="s">
        <v>19</v>
      </c>
      <c r="H84" s="1" t="s">
        <v>19</v>
      </c>
    </row>
    <row r="85" spans="1:8" ht="29.5" x14ac:dyDescent="0.75">
      <c r="A85" s="1" t="s">
        <v>16</v>
      </c>
      <c r="B85" s="1" t="s">
        <v>22</v>
      </c>
      <c r="C85" s="1" t="s">
        <v>39</v>
      </c>
      <c r="D85" s="1" t="s">
        <v>19</v>
      </c>
      <c r="E85" s="1" t="s">
        <v>19</v>
      </c>
      <c r="F85" s="1" t="s">
        <v>19</v>
      </c>
      <c r="G85" s="1" t="s">
        <v>19</v>
      </c>
      <c r="H85" s="1" t="s">
        <v>19</v>
      </c>
    </row>
    <row r="86" spans="1:8" ht="88.5" x14ac:dyDescent="0.75">
      <c r="A86" s="1" t="s">
        <v>16</v>
      </c>
      <c r="B86" s="1" t="s">
        <v>32</v>
      </c>
      <c r="C86" s="1" t="s">
        <v>69</v>
      </c>
      <c r="D86" s="1" t="s">
        <v>19</v>
      </c>
      <c r="E86" s="1" t="s">
        <v>19</v>
      </c>
      <c r="F86" s="1" t="s">
        <v>19</v>
      </c>
      <c r="G86" s="1" t="s">
        <v>19</v>
      </c>
      <c r="H86" s="1" t="s">
        <v>91</v>
      </c>
    </row>
    <row r="87" spans="1:8" ht="59" x14ac:dyDescent="0.75">
      <c r="A87" s="1" t="s">
        <v>16</v>
      </c>
      <c r="B87" s="1" t="s">
        <v>17</v>
      </c>
      <c r="C87" s="1" t="s">
        <v>43</v>
      </c>
      <c r="D87" s="1" t="s">
        <v>19</v>
      </c>
      <c r="E87" s="1" t="s">
        <v>19</v>
      </c>
      <c r="F87" s="1" t="s">
        <v>19</v>
      </c>
      <c r="G87" s="1" t="s">
        <v>19</v>
      </c>
      <c r="H87" s="1" t="s">
        <v>19</v>
      </c>
    </row>
    <row r="88" spans="1:8" ht="44.25" x14ac:dyDescent="0.75">
      <c r="A88" s="1" t="s">
        <v>63</v>
      </c>
      <c r="B88" s="1" t="s">
        <v>37</v>
      </c>
      <c r="C88" s="1" t="s">
        <v>39</v>
      </c>
      <c r="D88" s="1" t="s">
        <v>19</v>
      </c>
      <c r="E88" s="1" t="s">
        <v>19</v>
      </c>
      <c r="F88" s="1" t="s">
        <v>19</v>
      </c>
      <c r="G88" s="1" t="s">
        <v>19</v>
      </c>
      <c r="H88" s="1" t="s">
        <v>19</v>
      </c>
    </row>
    <row r="89" spans="1:8" ht="44.25" x14ac:dyDescent="0.75">
      <c r="A89" s="1" t="s">
        <v>65</v>
      </c>
      <c r="B89" s="1" t="s">
        <v>37</v>
      </c>
      <c r="C89" s="1" t="s">
        <v>64</v>
      </c>
      <c r="D89" s="1" t="s">
        <v>19</v>
      </c>
      <c r="E89" s="1" t="s">
        <v>19</v>
      </c>
      <c r="F89" s="1" t="s">
        <v>19</v>
      </c>
      <c r="G89" s="1" t="s">
        <v>92</v>
      </c>
      <c r="H89" s="1" t="s">
        <v>19</v>
      </c>
    </row>
    <row r="90" spans="1:8" ht="44.25" x14ac:dyDescent="0.75">
      <c r="A90" s="1" t="s">
        <v>65</v>
      </c>
      <c r="B90" s="1" t="s">
        <v>37</v>
      </c>
      <c r="C90" s="1" t="s">
        <v>45</v>
      </c>
      <c r="D90" s="1" t="s">
        <v>19</v>
      </c>
      <c r="E90" s="1" t="s">
        <v>19</v>
      </c>
      <c r="F90" s="1" t="s">
        <v>19</v>
      </c>
      <c r="G90" s="1" t="s">
        <v>93</v>
      </c>
      <c r="H90" s="1" t="s">
        <v>19</v>
      </c>
    </row>
    <row r="91" spans="1:8" ht="88.5" x14ac:dyDescent="0.75">
      <c r="A91" s="1" t="s">
        <v>63</v>
      </c>
      <c r="B91" s="1" t="s">
        <v>74</v>
      </c>
      <c r="C91" s="1" t="s">
        <v>39</v>
      </c>
      <c r="D91" s="1" t="s">
        <v>94</v>
      </c>
      <c r="E91" s="1" t="s">
        <v>19</v>
      </c>
      <c r="F91" s="1" t="s">
        <v>19</v>
      </c>
      <c r="G91" s="1" t="s">
        <v>19</v>
      </c>
      <c r="H91" s="1" t="s">
        <v>19</v>
      </c>
    </row>
    <row r="92" spans="1:8" ht="59" x14ac:dyDescent="0.75">
      <c r="A92" s="1" t="s">
        <v>16</v>
      </c>
      <c r="B92" s="1" t="s">
        <v>17</v>
      </c>
      <c r="C92" s="1" t="s">
        <v>26</v>
      </c>
      <c r="D92" s="1" t="s">
        <v>19</v>
      </c>
      <c r="E92" s="1" t="s">
        <v>95</v>
      </c>
      <c r="F92" s="1" t="s">
        <v>19</v>
      </c>
      <c r="G92" s="1" t="s">
        <v>19</v>
      </c>
      <c r="H92" s="1" t="s">
        <v>19</v>
      </c>
    </row>
    <row r="93" spans="1:8" ht="73.75" x14ac:dyDescent="0.75">
      <c r="A93" s="1" t="s">
        <v>21</v>
      </c>
      <c r="B93" s="1" t="s">
        <v>25</v>
      </c>
      <c r="C93" s="1" t="s">
        <v>48</v>
      </c>
      <c r="D93" s="1" t="s">
        <v>19</v>
      </c>
      <c r="E93" s="1" t="s">
        <v>96</v>
      </c>
      <c r="F93" s="1" t="s">
        <v>19</v>
      </c>
      <c r="G93" s="1" t="s">
        <v>19</v>
      </c>
      <c r="H93" s="1" t="s">
        <v>19</v>
      </c>
    </row>
    <row r="94" spans="1:8" ht="88.5" x14ac:dyDescent="0.75">
      <c r="A94" s="1" t="s">
        <v>24</v>
      </c>
      <c r="B94" s="1" t="s">
        <v>74</v>
      </c>
      <c r="C94" s="1" t="s">
        <v>26</v>
      </c>
      <c r="D94" s="1" t="s">
        <v>19</v>
      </c>
      <c r="E94" s="1" t="s">
        <v>19</v>
      </c>
      <c r="F94" s="1" t="s">
        <v>19</v>
      </c>
      <c r="G94" s="1" t="s">
        <v>19</v>
      </c>
      <c r="H94" s="1" t="s">
        <v>97</v>
      </c>
    </row>
    <row r="95" spans="1:8" ht="59" x14ac:dyDescent="0.75">
      <c r="A95" s="1" t="s">
        <v>21</v>
      </c>
      <c r="B95" s="1" t="s">
        <v>25</v>
      </c>
      <c r="C95" s="1" t="s">
        <v>98</v>
      </c>
      <c r="D95" s="1" t="s">
        <v>99</v>
      </c>
      <c r="E95" s="1" t="s">
        <v>19</v>
      </c>
      <c r="F95" s="1" t="s">
        <v>19</v>
      </c>
      <c r="G95" s="1" t="s">
        <v>19</v>
      </c>
      <c r="H95" s="1" t="s">
        <v>19</v>
      </c>
    </row>
    <row r="96" spans="1:8" ht="44.25" x14ac:dyDescent="0.75">
      <c r="A96" s="1" t="s">
        <v>65</v>
      </c>
      <c r="B96" s="1" t="s">
        <v>37</v>
      </c>
      <c r="C96" s="1" t="s">
        <v>80</v>
      </c>
      <c r="D96" s="1" t="s">
        <v>19</v>
      </c>
      <c r="E96" s="1" t="s">
        <v>19</v>
      </c>
      <c r="F96" s="1" t="s">
        <v>19</v>
      </c>
      <c r="G96" s="1" t="s">
        <v>19</v>
      </c>
      <c r="H96" s="1" t="s">
        <v>19</v>
      </c>
    </row>
    <row r="97" spans="1:8" ht="59" x14ac:dyDescent="0.75">
      <c r="A97" s="1" t="s">
        <v>24</v>
      </c>
      <c r="B97" s="1" t="s">
        <v>17</v>
      </c>
      <c r="C97" s="1" t="s">
        <v>57</v>
      </c>
      <c r="D97" s="1" t="s">
        <v>19</v>
      </c>
      <c r="E97" s="1" t="s">
        <v>19</v>
      </c>
      <c r="F97" s="1" t="s">
        <v>19</v>
      </c>
      <c r="G97" s="1" t="s">
        <v>19</v>
      </c>
      <c r="H97" s="1" t="s">
        <v>19</v>
      </c>
    </row>
    <row r="98" spans="1:8" ht="59" x14ac:dyDescent="0.75">
      <c r="A98" s="1" t="s">
        <v>21</v>
      </c>
      <c r="B98" s="1" t="s">
        <v>25</v>
      </c>
      <c r="C98" s="1" t="s">
        <v>58</v>
      </c>
      <c r="D98" s="1" t="s">
        <v>19</v>
      </c>
      <c r="E98" s="1" t="s">
        <v>19</v>
      </c>
      <c r="F98" s="1" t="s">
        <v>19</v>
      </c>
      <c r="G98" s="1" t="s">
        <v>19</v>
      </c>
      <c r="H98" s="1" t="s">
        <v>19</v>
      </c>
    </row>
    <row r="99" spans="1:8" ht="44.25" x14ac:dyDescent="0.75">
      <c r="A99" s="1" t="s">
        <v>65</v>
      </c>
      <c r="B99" s="1" t="s">
        <v>37</v>
      </c>
      <c r="C99" s="1" t="s">
        <v>80</v>
      </c>
      <c r="D99" s="1" t="s">
        <v>100</v>
      </c>
      <c r="E99" s="1" t="s">
        <v>19</v>
      </c>
      <c r="F99" s="1" t="s">
        <v>19</v>
      </c>
      <c r="G99" s="1" t="s">
        <v>19</v>
      </c>
      <c r="H99" s="1" t="s">
        <v>19</v>
      </c>
    </row>
    <row r="100" spans="1:8" ht="59" x14ac:dyDescent="0.75">
      <c r="A100" s="1" t="s">
        <v>21</v>
      </c>
      <c r="B100" s="1" t="s">
        <v>25</v>
      </c>
      <c r="C100" s="1" t="s">
        <v>23</v>
      </c>
      <c r="D100" s="1" t="s">
        <v>19</v>
      </c>
      <c r="E100" s="1" t="s">
        <v>101</v>
      </c>
      <c r="F100" s="1" t="s">
        <v>19</v>
      </c>
      <c r="G100" s="1" t="s">
        <v>19</v>
      </c>
      <c r="H100" s="1" t="s">
        <v>19</v>
      </c>
    </row>
    <row r="101" spans="1:8" ht="103.25" x14ac:dyDescent="0.75">
      <c r="A101" s="1" t="s">
        <v>24</v>
      </c>
      <c r="B101" s="1" t="s">
        <v>25</v>
      </c>
      <c r="C101" s="1" t="s">
        <v>29</v>
      </c>
      <c r="D101" s="1" t="s">
        <v>19</v>
      </c>
      <c r="E101" s="1" t="s">
        <v>19</v>
      </c>
      <c r="F101" s="1" t="s">
        <v>19</v>
      </c>
      <c r="G101" s="1" t="s">
        <v>19</v>
      </c>
      <c r="H101" s="1" t="s">
        <v>19</v>
      </c>
    </row>
    <row r="102" spans="1:8" ht="59" x14ac:dyDescent="0.75">
      <c r="A102" s="1" t="s">
        <v>24</v>
      </c>
      <c r="B102" s="1" t="s">
        <v>25</v>
      </c>
      <c r="C102" s="1" t="s">
        <v>43</v>
      </c>
      <c r="D102" s="1" t="s">
        <v>19</v>
      </c>
      <c r="E102" s="1" t="s">
        <v>19</v>
      </c>
      <c r="F102" s="1" t="s">
        <v>102</v>
      </c>
      <c r="G102" s="1" t="s">
        <v>19</v>
      </c>
      <c r="H102" s="1" t="s">
        <v>19</v>
      </c>
    </row>
    <row r="103" spans="1:8" ht="88.5" x14ac:dyDescent="0.75">
      <c r="A103" s="1" t="s">
        <v>21</v>
      </c>
      <c r="B103" s="1" t="s">
        <v>32</v>
      </c>
      <c r="C103" s="1" t="s">
        <v>80</v>
      </c>
      <c r="D103" s="1" t="s">
        <v>19</v>
      </c>
      <c r="E103" s="1" t="s">
        <v>19</v>
      </c>
      <c r="F103" s="1" t="s">
        <v>19</v>
      </c>
      <c r="G103" s="1" t="s">
        <v>19</v>
      </c>
      <c r="H103" s="1" t="s">
        <v>19</v>
      </c>
    </row>
    <row r="104" spans="1:8" ht="59" x14ac:dyDescent="0.75">
      <c r="A104" s="1" t="s">
        <v>21</v>
      </c>
      <c r="B104" s="1" t="s">
        <v>37</v>
      </c>
      <c r="C104" s="1" t="s">
        <v>34</v>
      </c>
      <c r="D104" s="1" t="s">
        <v>19</v>
      </c>
      <c r="E104" s="1" t="s">
        <v>19</v>
      </c>
      <c r="F104" s="1" t="s">
        <v>19</v>
      </c>
      <c r="G104" s="1" t="s">
        <v>19</v>
      </c>
      <c r="H104" s="1" t="s">
        <v>19</v>
      </c>
    </row>
    <row r="105" spans="1:8" ht="88.5" x14ac:dyDescent="0.75">
      <c r="A105" s="1" t="s">
        <v>31</v>
      </c>
      <c r="B105" s="1" t="s">
        <v>28</v>
      </c>
      <c r="C105" s="1" t="s">
        <v>26</v>
      </c>
      <c r="D105" s="1" t="s">
        <v>19</v>
      </c>
      <c r="E105" s="1" t="s">
        <v>19</v>
      </c>
      <c r="F105" s="1" t="s">
        <v>19</v>
      </c>
      <c r="G105" s="1" t="s">
        <v>19</v>
      </c>
      <c r="H105" s="1" t="s">
        <v>19</v>
      </c>
    </row>
    <row r="106" spans="1:8" ht="44.25" x14ac:dyDescent="0.75">
      <c r="A106" s="1" t="s">
        <v>16</v>
      </c>
      <c r="B106" s="1" t="s">
        <v>22</v>
      </c>
      <c r="C106" s="1" t="s">
        <v>45</v>
      </c>
      <c r="D106" s="1" t="s">
        <v>19</v>
      </c>
      <c r="E106" s="1" t="s">
        <v>19</v>
      </c>
      <c r="F106" s="1" t="s">
        <v>19</v>
      </c>
      <c r="G106" s="1" t="s">
        <v>19</v>
      </c>
      <c r="H106" s="1" t="s">
        <v>19</v>
      </c>
    </row>
    <row r="107" spans="1:8" ht="59" x14ac:dyDescent="0.75">
      <c r="A107" s="1" t="s">
        <v>21</v>
      </c>
      <c r="B107" s="1" t="s">
        <v>25</v>
      </c>
      <c r="C107" s="1" t="s">
        <v>69</v>
      </c>
      <c r="D107" s="1" t="s">
        <v>19</v>
      </c>
      <c r="E107" s="1" t="s">
        <v>19</v>
      </c>
      <c r="F107" s="1" t="s">
        <v>19</v>
      </c>
      <c r="G107" s="1" t="s">
        <v>19</v>
      </c>
      <c r="H107" s="1" t="s">
        <v>103</v>
      </c>
    </row>
    <row r="108" spans="1:8" ht="29.5" x14ac:dyDescent="0.75">
      <c r="A108" s="1" t="s">
        <v>24</v>
      </c>
      <c r="B108" s="1" t="s">
        <v>22</v>
      </c>
      <c r="C108" s="1" t="s">
        <v>26</v>
      </c>
      <c r="D108" s="1" t="s">
        <v>19</v>
      </c>
      <c r="E108" s="1" t="s">
        <v>19</v>
      </c>
      <c r="F108" s="1" t="s">
        <v>19</v>
      </c>
      <c r="G108" s="1" t="s">
        <v>19</v>
      </c>
      <c r="H108" s="1" t="s">
        <v>19</v>
      </c>
    </row>
    <row r="109" spans="1:8" ht="59" x14ac:dyDescent="0.75">
      <c r="A109" s="1" t="s">
        <v>16</v>
      </c>
      <c r="B109" s="1" t="s">
        <v>25</v>
      </c>
      <c r="C109" s="1" t="s">
        <v>47</v>
      </c>
      <c r="D109" s="1" t="s">
        <v>19</v>
      </c>
      <c r="E109" s="1" t="s">
        <v>19</v>
      </c>
      <c r="F109" s="1" t="s">
        <v>19</v>
      </c>
      <c r="G109" s="1" t="s">
        <v>19</v>
      </c>
      <c r="H109" s="1" t="s">
        <v>104</v>
      </c>
    </row>
    <row r="110" spans="1:8" ht="59" x14ac:dyDescent="0.75">
      <c r="A110" s="1" t="s">
        <v>31</v>
      </c>
      <c r="B110" s="1" t="s">
        <v>25</v>
      </c>
      <c r="C110" s="1" t="s">
        <v>41</v>
      </c>
      <c r="D110" s="1" t="s">
        <v>19</v>
      </c>
      <c r="E110" s="1" t="s">
        <v>19</v>
      </c>
      <c r="F110" s="1" t="s">
        <v>19</v>
      </c>
      <c r="G110" s="1" t="s">
        <v>19</v>
      </c>
      <c r="H110" s="1" t="s">
        <v>19</v>
      </c>
    </row>
    <row r="111" spans="1:8" ht="59" x14ac:dyDescent="0.75">
      <c r="A111" s="1" t="s">
        <v>21</v>
      </c>
      <c r="B111" s="1" t="s">
        <v>25</v>
      </c>
      <c r="C111" s="1" t="s">
        <v>45</v>
      </c>
      <c r="D111" s="1" t="s">
        <v>19</v>
      </c>
      <c r="E111" s="1" t="s">
        <v>19</v>
      </c>
      <c r="F111" s="1" t="s">
        <v>19</v>
      </c>
      <c r="G111" s="1" t="s">
        <v>19</v>
      </c>
      <c r="H111" s="1" t="s">
        <v>19</v>
      </c>
    </row>
    <row r="112" spans="1:8" ht="59" x14ac:dyDescent="0.75">
      <c r="A112" s="1" t="s">
        <v>21</v>
      </c>
      <c r="B112" s="1" t="s">
        <v>25</v>
      </c>
      <c r="C112" s="1" t="s">
        <v>43</v>
      </c>
      <c r="D112" s="1" t="s">
        <v>19</v>
      </c>
      <c r="E112" s="1" t="s">
        <v>19</v>
      </c>
      <c r="F112" s="1" t="s">
        <v>105</v>
      </c>
      <c r="G112" s="1" t="s">
        <v>19</v>
      </c>
      <c r="H112" s="1" t="s">
        <v>19</v>
      </c>
    </row>
    <row r="113" spans="1:8" ht="103.25" x14ac:dyDescent="0.75">
      <c r="A113" s="1" t="s">
        <v>24</v>
      </c>
      <c r="B113" s="1" t="s">
        <v>37</v>
      </c>
      <c r="C113" s="1" t="s">
        <v>29</v>
      </c>
      <c r="D113" s="1" t="s">
        <v>19</v>
      </c>
      <c r="E113" s="1" t="s">
        <v>19</v>
      </c>
      <c r="F113" s="1" t="s">
        <v>19</v>
      </c>
      <c r="G113" s="1" t="s">
        <v>19</v>
      </c>
      <c r="H113" s="1" t="s">
        <v>19</v>
      </c>
    </row>
    <row r="114" spans="1:8" ht="59" x14ac:dyDescent="0.75">
      <c r="A114" s="1" t="s">
        <v>21</v>
      </c>
      <c r="B114" s="1" t="s">
        <v>25</v>
      </c>
      <c r="C114" s="1" t="s">
        <v>34</v>
      </c>
      <c r="D114" s="1" t="s">
        <v>19</v>
      </c>
      <c r="E114" s="1" t="s">
        <v>19</v>
      </c>
      <c r="F114" s="1" t="s">
        <v>19</v>
      </c>
      <c r="G114" s="1" t="s">
        <v>19</v>
      </c>
      <c r="H114" s="1" t="s">
        <v>19</v>
      </c>
    </row>
    <row r="115" spans="1:8" ht="103.25" x14ac:dyDescent="0.75">
      <c r="A115" s="1" t="s">
        <v>16</v>
      </c>
      <c r="B115" s="1" t="s">
        <v>25</v>
      </c>
      <c r="C115" s="1" t="s">
        <v>29</v>
      </c>
      <c r="D115" s="1" t="s">
        <v>19</v>
      </c>
      <c r="E115" s="1" t="s">
        <v>106</v>
      </c>
      <c r="F115" s="1" t="s">
        <v>19</v>
      </c>
      <c r="G115" s="1" t="s">
        <v>19</v>
      </c>
      <c r="H115" s="1" t="s">
        <v>19</v>
      </c>
    </row>
    <row r="116" spans="1:8" ht="29.5" x14ac:dyDescent="0.75">
      <c r="A116" s="1" t="s">
        <v>21</v>
      </c>
      <c r="B116" s="1" t="s">
        <v>22</v>
      </c>
      <c r="C116" s="1" t="s">
        <v>26</v>
      </c>
      <c r="D116" s="1" t="s">
        <v>19</v>
      </c>
      <c r="E116" s="1" t="s">
        <v>19</v>
      </c>
      <c r="F116" s="1" t="s">
        <v>107</v>
      </c>
      <c r="G116" s="1" t="s">
        <v>19</v>
      </c>
      <c r="H116" s="1" t="s">
        <v>19</v>
      </c>
    </row>
    <row r="117" spans="1:8" ht="73.75" x14ac:dyDescent="0.75">
      <c r="A117" s="1" t="s">
        <v>24</v>
      </c>
      <c r="B117" s="1" t="s">
        <v>25</v>
      </c>
      <c r="C117" s="1" t="s">
        <v>48</v>
      </c>
      <c r="D117" s="1" t="s">
        <v>19</v>
      </c>
      <c r="E117" s="1" t="s">
        <v>19</v>
      </c>
      <c r="F117" s="1" t="s">
        <v>19</v>
      </c>
      <c r="G117" s="1" t="s">
        <v>19</v>
      </c>
      <c r="H117" s="1" t="s">
        <v>19</v>
      </c>
    </row>
    <row r="118" spans="1:8" ht="59" x14ac:dyDescent="0.75">
      <c r="A118" s="1" t="s">
        <v>16</v>
      </c>
      <c r="B118" s="1" t="s">
        <v>25</v>
      </c>
      <c r="C118" s="1" t="s">
        <v>43</v>
      </c>
      <c r="D118" s="1" t="s">
        <v>19</v>
      </c>
      <c r="E118" s="1" t="s">
        <v>19</v>
      </c>
      <c r="F118" s="1" t="s">
        <v>19</v>
      </c>
      <c r="G118" s="1" t="s">
        <v>19</v>
      </c>
      <c r="H118" s="1" t="s">
        <v>19</v>
      </c>
    </row>
    <row r="119" spans="1:8" ht="44.25" x14ac:dyDescent="0.75">
      <c r="A119" s="1" t="s">
        <v>65</v>
      </c>
      <c r="B119" s="1" t="s">
        <v>22</v>
      </c>
      <c r="C119" s="1" t="s">
        <v>45</v>
      </c>
      <c r="D119" s="1" t="s">
        <v>19</v>
      </c>
      <c r="E119" s="1" t="s">
        <v>19</v>
      </c>
      <c r="F119" s="1" t="s">
        <v>19</v>
      </c>
      <c r="G119" s="1" t="s">
        <v>19</v>
      </c>
      <c r="H119" s="1" t="s">
        <v>19</v>
      </c>
    </row>
    <row r="120" spans="1:8" ht="59" x14ac:dyDescent="0.75">
      <c r="A120" s="1" t="s">
        <v>21</v>
      </c>
      <c r="B120" s="1" t="s">
        <v>17</v>
      </c>
      <c r="C120" s="1" t="s">
        <v>43</v>
      </c>
      <c r="D120" s="1" t="s">
        <v>19</v>
      </c>
      <c r="E120" s="1" t="s">
        <v>19</v>
      </c>
      <c r="F120" s="1" t="s">
        <v>19</v>
      </c>
      <c r="G120" s="1" t="s">
        <v>19</v>
      </c>
      <c r="H120" s="1" t="s">
        <v>19</v>
      </c>
    </row>
    <row r="121" spans="1:8" ht="59" x14ac:dyDescent="0.75">
      <c r="A121" s="1" t="s">
        <v>16</v>
      </c>
      <c r="B121" s="1" t="s">
        <v>25</v>
      </c>
      <c r="C121" s="1" t="s">
        <v>42</v>
      </c>
      <c r="D121" s="1" t="s">
        <v>19</v>
      </c>
      <c r="E121" s="1" t="s">
        <v>19</v>
      </c>
      <c r="F121" s="1" t="s">
        <v>19</v>
      </c>
      <c r="G121" s="1" t="s">
        <v>19</v>
      </c>
      <c r="H121" s="1" t="s">
        <v>108</v>
      </c>
    </row>
    <row r="122" spans="1:8" ht="59" x14ac:dyDescent="0.75">
      <c r="A122" s="1" t="s">
        <v>24</v>
      </c>
      <c r="B122" s="1" t="s">
        <v>25</v>
      </c>
      <c r="C122" s="1" t="s">
        <v>45</v>
      </c>
      <c r="D122" s="1" t="s">
        <v>19</v>
      </c>
      <c r="E122" s="1" t="s">
        <v>19</v>
      </c>
      <c r="F122" s="1" t="s">
        <v>19</v>
      </c>
      <c r="G122" s="1" t="s">
        <v>19</v>
      </c>
      <c r="H122" s="1" t="s">
        <v>19</v>
      </c>
    </row>
    <row r="123" spans="1:8" ht="44.25" x14ac:dyDescent="0.75">
      <c r="A123" s="1" t="s">
        <v>21</v>
      </c>
      <c r="B123" s="1" t="s">
        <v>37</v>
      </c>
      <c r="C123" s="1" t="s">
        <v>109</v>
      </c>
      <c r="D123" s="1" t="s">
        <v>19</v>
      </c>
      <c r="E123" s="1" t="s">
        <v>19</v>
      </c>
      <c r="F123" s="1" t="s">
        <v>19</v>
      </c>
      <c r="G123" s="1" t="s">
        <v>19</v>
      </c>
      <c r="H123" s="1" t="s">
        <v>19</v>
      </c>
    </row>
    <row r="124" spans="1:8" ht="59" x14ac:dyDescent="0.75">
      <c r="A124" s="1" t="s">
        <v>65</v>
      </c>
      <c r="B124" s="1" t="s">
        <v>37</v>
      </c>
      <c r="C124" s="1" t="s">
        <v>34</v>
      </c>
      <c r="D124" s="1" t="s">
        <v>19</v>
      </c>
      <c r="E124" s="1" t="s">
        <v>19</v>
      </c>
      <c r="F124" s="1" t="s">
        <v>19</v>
      </c>
      <c r="G124" s="1" t="s">
        <v>19</v>
      </c>
      <c r="H124" s="1" t="s">
        <v>110</v>
      </c>
    </row>
    <row r="125" spans="1:8" ht="103.25" x14ac:dyDescent="0.75">
      <c r="A125" s="1" t="s">
        <v>16</v>
      </c>
      <c r="B125" s="1" t="s">
        <v>22</v>
      </c>
      <c r="C125" s="1" t="s">
        <v>29</v>
      </c>
      <c r="D125" s="1" t="s">
        <v>19</v>
      </c>
      <c r="E125" s="1" t="s">
        <v>19</v>
      </c>
      <c r="F125" s="1" t="s">
        <v>19</v>
      </c>
      <c r="G125" s="1" t="s">
        <v>19</v>
      </c>
      <c r="H125" s="1" t="s">
        <v>111</v>
      </c>
    </row>
    <row r="126" spans="1:8" ht="103.25" x14ac:dyDescent="0.75">
      <c r="A126" s="1" t="s">
        <v>16</v>
      </c>
      <c r="B126" s="1" t="s">
        <v>25</v>
      </c>
      <c r="C126" s="1" t="s">
        <v>29</v>
      </c>
      <c r="D126" s="1" t="s">
        <v>19</v>
      </c>
      <c r="E126" s="1" t="s">
        <v>19</v>
      </c>
      <c r="F126" s="1" t="s">
        <v>19</v>
      </c>
      <c r="G126" s="1" t="s">
        <v>19</v>
      </c>
      <c r="H126" s="1" t="s">
        <v>19</v>
      </c>
    </row>
    <row r="127" spans="1:8" ht="59" x14ac:dyDescent="0.75">
      <c r="A127" s="1" t="s">
        <v>21</v>
      </c>
      <c r="B127" s="1" t="s">
        <v>25</v>
      </c>
      <c r="C127" s="1" t="s">
        <v>75</v>
      </c>
      <c r="D127" s="1" t="s">
        <v>19</v>
      </c>
      <c r="E127" s="1" t="s">
        <v>19</v>
      </c>
      <c r="F127" s="1" t="s">
        <v>19</v>
      </c>
      <c r="G127" s="1" t="s">
        <v>19</v>
      </c>
      <c r="H127" s="1" t="s">
        <v>112</v>
      </c>
    </row>
    <row r="128" spans="1:8" ht="59" x14ac:dyDescent="0.75">
      <c r="A128" s="1" t="s">
        <v>31</v>
      </c>
      <c r="B128" s="1" t="s">
        <v>25</v>
      </c>
      <c r="C128" s="1" t="s">
        <v>39</v>
      </c>
      <c r="D128" s="1" t="s">
        <v>19</v>
      </c>
      <c r="E128" s="1" t="s">
        <v>19</v>
      </c>
      <c r="F128" s="1" t="s">
        <v>19</v>
      </c>
      <c r="G128" s="1" t="s">
        <v>113</v>
      </c>
      <c r="H128" s="1" t="s">
        <v>19</v>
      </c>
    </row>
    <row r="129" spans="1:8" ht="59" x14ac:dyDescent="0.75">
      <c r="A129" s="1" t="s">
        <v>24</v>
      </c>
      <c r="B129" s="1" t="s">
        <v>25</v>
      </c>
      <c r="C129" s="1" t="s">
        <v>69</v>
      </c>
      <c r="D129" s="1" t="s">
        <v>19</v>
      </c>
      <c r="E129" s="1" t="s">
        <v>114</v>
      </c>
      <c r="F129" s="1" t="s">
        <v>19</v>
      </c>
      <c r="G129" s="1" t="s">
        <v>19</v>
      </c>
      <c r="H129" s="1" t="s">
        <v>19</v>
      </c>
    </row>
    <row r="130" spans="1:8" ht="59" x14ac:dyDescent="0.75">
      <c r="A130" s="1" t="s">
        <v>21</v>
      </c>
      <c r="B130" s="1" t="s">
        <v>25</v>
      </c>
      <c r="C130" s="1" t="s">
        <v>45</v>
      </c>
      <c r="D130" s="1" t="s">
        <v>115</v>
      </c>
      <c r="E130" s="1" t="s">
        <v>19</v>
      </c>
      <c r="F130" s="1" t="s">
        <v>19</v>
      </c>
      <c r="G130" s="1" t="s">
        <v>19</v>
      </c>
      <c r="H130" s="1" t="s">
        <v>19</v>
      </c>
    </row>
    <row r="131" spans="1:8" ht="59" x14ac:dyDescent="0.75">
      <c r="A131" s="1" t="s">
        <v>21</v>
      </c>
      <c r="B131" s="1" t="s">
        <v>17</v>
      </c>
      <c r="C131" s="1" t="s">
        <v>98</v>
      </c>
      <c r="D131" s="1" t="s">
        <v>19</v>
      </c>
      <c r="E131" s="1" t="s">
        <v>19</v>
      </c>
      <c r="F131" s="1" t="s">
        <v>19</v>
      </c>
      <c r="G131" s="1" t="s">
        <v>19</v>
      </c>
      <c r="H131" s="1" t="s">
        <v>19</v>
      </c>
    </row>
    <row r="132" spans="1:8" ht="59" x14ac:dyDescent="0.75">
      <c r="A132" s="1" t="s">
        <v>65</v>
      </c>
      <c r="B132" s="1" t="s">
        <v>37</v>
      </c>
      <c r="C132" s="1" t="s">
        <v>41</v>
      </c>
      <c r="D132" s="1" t="s">
        <v>19</v>
      </c>
      <c r="E132" s="1" t="s">
        <v>19</v>
      </c>
      <c r="F132" s="1" t="s">
        <v>19</v>
      </c>
      <c r="G132" s="1" t="s">
        <v>116</v>
      </c>
      <c r="H132" s="1" t="s">
        <v>19</v>
      </c>
    </row>
    <row r="133" spans="1:8" ht="59" x14ac:dyDescent="0.75">
      <c r="A133" s="1" t="s">
        <v>16</v>
      </c>
      <c r="B133" s="1" t="s">
        <v>22</v>
      </c>
      <c r="C133" s="1" t="s">
        <v>41</v>
      </c>
      <c r="D133" s="1" t="s">
        <v>19</v>
      </c>
      <c r="E133" s="1" t="s">
        <v>19</v>
      </c>
      <c r="F133" s="1" t="s">
        <v>19</v>
      </c>
      <c r="G133" s="1" t="s">
        <v>19</v>
      </c>
      <c r="H133" s="1" t="s">
        <v>19</v>
      </c>
    </row>
    <row r="134" spans="1:8" ht="59" x14ac:dyDescent="0.75">
      <c r="A134" s="1" t="s">
        <v>21</v>
      </c>
      <c r="B134" s="1" t="s">
        <v>17</v>
      </c>
      <c r="C134" s="1" t="s">
        <v>43</v>
      </c>
      <c r="D134" s="1" t="s">
        <v>19</v>
      </c>
      <c r="E134" s="1" t="s">
        <v>19</v>
      </c>
      <c r="F134" s="1" t="s">
        <v>19</v>
      </c>
      <c r="G134" s="1" t="s">
        <v>19</v>
      </c>
      <c r="H134" s="1" t="s">
        <v>19</v>
      </c>
    </row>
    <row r="135" spans="1:8" ht="88.5" x14ac:dyDescent="0.75">
      <c r="A135" s="1" t="s">
        <v>24</v>
      </c>
      <c r="B135" s="1" t="s">
        <v>28</v>
      </c>
      <c r="C135" s="1" t="s">
        <v>109</v>
      </c>
      <c r="D135" s="1" t="s">
        <v>19</v>
      </c>
      <c r="E135" s="1" t="s">
        <v>117</v>
      </c>
      <c r="F135" s="1" t="s">
        <v>19</v>
      </c>
      <c r="G135" s="1" t="s">
        <v>19</v>
      </c>
      <c r="H135" s="1" t="s">
        <v>19</v>
      </c>
    </row>
    <row r="136" spans="1:8" ht="59" x14ac:dyDescent="0.75">
      <c r="A136" s="1" t="s">
        <v>16</v>
      </c>
      <c r="B136" s="1" t="s">
        <v>25</v>
      </c>
      <c r="C136" s="1" t="s">
        <v>69</v>
      </c>
      <c r="D136" s="1" t="s">
        <v>19</v>
      </c>
      <c r="E136" s="1" t="s">
        <v>19</v>
      </c>
      <c r="F136" s="1" t="s">
        <v>118</v>
      </c>
      <c r="G136" s="1" t="s">
        <v>19</v>
      </c>
      <c r="H136" s="1" t="s">
        <v>19</v>
      </c>
    </row>
    <row r="137" spans="1:8" ht="44.25" x14ac:dyDescent="0.75">
      <c r="A137" s="1" t="s">
        <v>21</v>
      </c>
      <c r="B137" s="1" t="s">
        <v>37</v>
      </c>
      <c r="C137" s="1" t="s">
        <v>57</v>
      </c>
      <c r="D137" s="1" t="s">
        <v>119</v>
      </c>
      <c r="E137" s="1" t="s">
        <v>19</v>
      </c>
      <c r="F137" s="1" t="s">
        <v>19</v>
      </c>
      <c r="G137" s="1" t="s">
        <v>19</v>
      </c>
      <c r="H137" s="1" t="s">
        <v>19</v>
      </c>
    </row>
    <row r="138" spans="1:8" ht="59" x14ac:dyDescent="0.75">
      <c r="A138" s="1" t="s">
        <v>24</v>
      </c>
      <c r="B138" s="1" t="s">
        <v>17</v>
      </c>
      <c r="C138" s="1" t="s">
        <v>43</v>
      </c>
      <c r="D138" s="1" t="s">
        <v>19</v>
      </c>
      <c r="E138" s="1" t="s">
        <v>19</v>
      </c>
      <c r="F138" s="1" t="s">
        <v>19</v>
      </c>
      <c r="G138" s="1" t="s">
        <v>19</v>
      </c>
      <c r="H138" s="1" t="s">
        <v>19</v>
      </c>
    </row>
    <row r="139" spans="1:8" ht="59" x14ac:dyDescent="0.75">
      <c r="A139" s="1" t="s">
        <v>24</v>
      </c>
      <c r="B139" s="1" t="s">
        <v>17</v>
      </c>
      <c r="C139" s="1" t="s">
        <v>109</v>
      </c>
      <c r="D139" s="1" t="s">
        <v>19</v>
      </c>
      <c r="E139" s="1" t="s">
        <v>19</v>
      </c>
      <c r="F139" s="1" t="s">
        <v>19</v>
      </c>
      <c r="G139" s="1" t="s">
        <v>19</v>
      </c>
      <c r="H139" s="1" t="s">
        <v>19</v>
      </c>
    </row>
    <row r="140" spans="1:8" ht="59" x14ac:dyDescent="0.75">
      <c r="A140" s="1" t="s">
        <v>21</v>
      </c>
      <c r="B140" s="1" t="s">
        <v>25</v>
      </c>
      <c r="C140" s="1" t="s">
        <v>45</v>
      </c>
      <c r="D140" s="1" t="s">
        <v>19</v>
      </c>
      <c r="E140" s="1" t="s">
        <v>19</v>
      </c>
      <c r="F140" s="1" t="s">
        <v>19</v>
      </c>
      <c r="G140" s="1" t="s">
        <v>19</v>
      </c>
      <c r="H140" s="1" t="s">
        <v>19</v>
      </c>
    </row>
    <row r="141" spans="1:8" ht="29.5" x14ac:dyDescent="0.75">
      <c r="A141" s="1" t="s">
        <v>65</v>
      </c>
      <c r="B141" s="1" t="s">
        <v>22</v>
      </c>
      <c r="C141" s="1" t="s">
        <v>18</v>
      </c>
      <c r="D141" s="1" t="s">
        <v>19</v>
      </c>
      <c r="E141" s="1" t="s">
        <v>19</v>
      </c>
      <c r="F141" s="1" t="s">
        <v>19</v>
      </c>
      <c r="G141" s="1" t="s">
        <v>19</v>
      </c>
      <c r="H141" s="1" t="s">
        <v>19</v>
      </c>
    </row>
    <row r="142" spans="1:8" ht="59" x14ac:dyDescent="0.75">
      <c r="A142" s="1" t="s">
        <v>16</v>
      </c>
      <c r="B142" s="1" t="s">
        <v>17</v>
      </c>
      <c r="C142" s="1" t="s">
        <v>98</v>
      </c>
      <c r="D142" s="1" t="s">
        <v>19</v>
      </c>
      <c r="E142" s="1" t="s">
        <v>19</v>
      </c>
      <c r="F142" s="1" t="s">
        <v>19</v>
      </c>
      <c r="G142" s="1" t="s">
        <v>120</v>
      </c>
      <c r="H142" s="1" t="s">
        <v>19</v>
      </c>
    </row>
    <row r="143" spans="1:8" ht="73.75" x14ac:dyDescent="0.75">
      <c r="A143" s="1" t="s">
        <v>24</v>
      </c>
      <c r="B143" s="1" t="s">
        <v>25</v>
      </c>
      <c r="C143" s="1" t="s">
        <v>48</v>
      </c>
      <c r="D143" s="1" t="s">
        <v>19</v>
      </c>
      <c r="E143" s="1" t="s">
        <v>19</v>
      </c>
      <c r="F143" s="1" t="s">
        <v>19</v>
      </c>
      <c r="G143" s="1" t="s">
        <v>19</v>
      </c>
      <c r="H143" s="1" t="s">
        <v>121</v>
      </c>
    </row>
    <row r="144" spans="1:8" ht="103.25" x14ac:dyDescent="0.75">
      <c r="A144" s="1" t="s">
        <v>65</v>
      </c>
      <c r="B144" s="1" t="s">
        <v>37</v>
      </c>
      <c r="C144" s="1" t="s">
        <v>29</v>
      </c>
      <c r="D144" s="1" t="s">
        <v>19</v>
      </c>
      <c r="E144" s="1" t="s">
        <v>19</v>
      </c>
      <c r="F144" s="1" t="s">
        <v>19</v>
      </c>
      <c r="G144" s="1" t="s">
        <v>19</v>
      </c>
      <c r="H144" s="1" t="s">
        <v>19</v>
      </c>
    </row>
    <row r="145" spans="1:8" ht="59" x14ac:dyDescent="0.75">
      <c r="A145" s="1" t="s">
        <v>65</v>
      </c>
      <c r="B145" s="1" t="s">
        <v>25</v>
      </c>
      <c r="C145" s="1" t="s">
        <v>26</v>
      </c>
      <c r="D145" s="1" t="s">
        <v>19</v>
      </c>
      <c r="E145" s="1" t="s">
        <v>19</v>
      </c>
      <c r="F145" s="1" t="s">
        <v>19</v>
      </c>
      <c r="G145" s="1" t="s">
        <v>19</v>
      </c>
      <c r="H145" s="1" t="s">
        <v>19</v>
      </c>
    </row>
    <row r="146" spans="1:8" ht="59" x14ac:dyDescent="0.75">
      <c r="A146" s="1" t="s">
        <v>21</v>
      </c>
      <c r="B146" s="1" t="s">
        <v>25</v>
      </c>
      <c r="C146" s="1" t="s">
        <v>75</v>
      </c>
      <c r="D146" s="1" t="s">
        <v>19</v>
      </c>
      <c r="E146" s="1" t="s">
        <v>19</v>
      </c>
      <c r="F146" s="1" t="s">
        <v>19</v>
      </c>
      <c r="G146" s="1" t="s">
        <v>19</v>
      </c>
      <c r="H146" s="1" t="s">
        <v>19</v>
      </c>
    </row>
    <row r="147" spans="1:8" ht="73.75" x14ac:dyDescent="0.75">
      <c r="A147" s="1" t="s">
        <v>21</v>
      </c>
      <c r="B147" s="1" t="s">
        <v>17</v>
      </c>
      <c r="C147" s="1" t="s">
        <v>48</v>
      </c>
      <c r="D147" s="1" t="s">
        <v>19</v>
      </c>
      <c r="E147" s="1" t="s">
        <v>19</v>
      </c>
      <c r="F147" s="1" t="s">
        <v>19</v>
      </c>
      <c r="G147" s="1" t="s">
        <v>19</v>
      </c>
      <c r="H147" s="1" t="s">
        <v>19</v>
      </c>
    </row>
    <row r="148" spans="1:8" ht="44.25" x14ac:dyDescent="0.75">
      <c r="A148" s="1" t="s">
        <v>16</v>
      </c>
      <c r="B148" s="1" t="s">
        <v>37</v>
      </c>
      <c r="C148" s="1" t="s">
        <v>26</v>
      </c>
      <c r="D148" s="1" t="s">
        <v>19</v>
      </c>
      <c r="E148" s="1" t="s">
        <v>122</v>
      </c>
      <c r="F148" s="1" t="s">
        <v>19</v>
      </c>
      <c r="G148" s="1" t="s">
        <v>19</v>
      </c>
      <c r="H148" s="1" t="s">
        <v>19</v>
      </c>
    </row>
    <row r="149" spans="1:8" ht="59" x14ac:dyDescent="0.75">
      <c r="A149" s="1" t="s">
        <v>16</v>
      </c>
      <c r="B149" s="1" t="s">
        <v>25</v>
      </c>
      <c r="C149" s="1" t="s">
        <v>69</v>
      </c>
      <c r="D149" s="1" t="s">
        <v>19</v>
      </c>
      <c r="E149" s="1" t="s">
        <v>19</v>
      </c>
      <c r="F149" s="1" t="s">
        <v>19</v>
      </c>
      <c r="G149" s="1" t="s">
        <v>19</v>
      </c>
      <c r="H149" s="1" t="s">
        <v>19</v>
      </c>
    </row>
    <row r="150" spans="1:8" ht="59" x14ac:dyDescent="0.75">
      <c r="A150" s="1" t="s">
        <v>31</v>
      </c>
      <c r="B150" s="1" t="s">
        <v>17</v>
      </c>
      <c r="C150" s="1" t="s">
        <v>43</v>
      </c>
      <c r="D150" s="1" t="s">
        <v>19</v>
      </c>
      <c r="E150" s="1" t="s">
        <v>19</v>
      </c>
      <c r="F150" s="1" t="s">
        <v>19</v>
      </c>
      <c r="G150" s="1" t="s">
        <v>19</v>
      </c>
      <c r="H150" s="1" t="s">
        <v>19</v>
      </c>
    </row>
    <row r="151" spans="1:8" ht="59" x14ac:dyDescent="0.75">
      <c r="A151" s="1" t="s">
        <v>24</v>
      </c>
      <c r="B151" s="1" t="s">
        <v>25</v>
      </c>
      <c r="C151" s="1" t="s">
        <v>43</v>
      </c>
      <c r="D151" s="1" t="s">
        <v>19</v>
      </c>
      <c r="E151" s="1" t="s">
        <v>19</v>
      </c>
      <c r="F151" s="1" t="s">
        <v>19</v>
      </c>
      <c r="G151" s="1" t="s">
        <v>19</v>
      </c>
      <c r="H151" s="1" t="s">
        <v>123</v>
      </c>
    </row>
    <row r="152" spans="1:8" ht="29.5" x14ac:dyDescent="0.75">
      <c r="A152" s="1" t="s">
        <v>21</v>
      </c>
      <c r="B152" s="1" t="s">
        <v>22</v>
      </c>
      <c r="C152" s="1" t="s">
        <v>80</v>
      </c>
      <c r="D152" s="1" t="s">
        <v>19</v>
      </c>
      <c r="E152" s="1" t="s">
        <v>19</v>
      </c>
      <c r="F152" s="1" t="s">
        <v>19</v>
      </c>
      <c r="G152" s="1" t="s">
        <v>19</v>
      </c>
      <c r="H152" s="1" t="s">
        <v>19</v>
      </c>
    </row>
    <row r="153" spans="1:8" ht="59" x14ac:dyDescent="0.75">
      <c r="A153" s="1" t="s">
        <v>21</v>
      </c>
      <c r="B153" s="1" t="s">
        <v>37</v>
      </c>
      <c r="C153" s="1" t="s">
        <v>47</v>
      </c>
      <c r="D153" s="1" t="s">
        <v>19</v>
      </c>
      <c r="E153" s="1" t="s">
        <v>19</v>
      </c>
      <c r="F153" s="1" t="s">
        <v>19</v>
      </c>
      <c r="G153" s="1" t="s">
        <v>19</v>
      </c>
      <c r="H153" s="1" t="s">
        <v>19</v>
      </c>
    </row>
    <row r="154" spans="1:8" ht="29.5" x14ac:dyDescent="0.75">
      <c r="A154" s="1" t="s">
        <v>65</v>
      </c>
      <c r="B154" s="1" t="s">
        <v>22</v>
      </c>
      <c r="C154" s="1" t="s">
        <v>26</v>
      </c>
      <c r="D154" s="1" t="s">
        <v>19</v>
      </c>
      <c r="E154" s="1" t="s">
        <v>19</v>
      </c>
      <c r="F154" s="1" t="s">
        <v>19</v>
      </c>
      <c r="G154" s="1" t="s">
        <v>19</v>
      </c>
      <c r="H154" s="1" t="s">
        <v>19</v>
      </c>
    </row>
    <row r="155" spans="1:8" ht="88.5" x14ac:dyDescent="0.75">
      <c r="A155" s="1" t="s">
        <v>21</v>
      </c>
      <c r="B155" s="1" t="s">
        <v>32</v>
      </c>
      <c r="C155" s="1" t="s">
        <v>124</v>
      </c>
      <c r="D155" s="1" t="s">
        <v>19</v>
      </c>
      <c r="E155" s="1" t="s">
        <v>19</v>
      </c>
      <c r="F155" s="1" t="s">
        <v>125</v>
      </c>
      <c r="G155" s="1" t="s">
        <v>19</v>
      </c>
      <c r="H155" s="1" t="s">
        <v>19</v>
      </c>
    </row>
    <row r="156" spans="1:8" ht="88.5" x14ac:dyDescent="0.75">
      <c r="A156" s="1" t="s">
        <v>16</v>
      </c>
      <c r="B156" s="1" t="s">
        <v>32</v>
      </c>
      <c r="C156" s="1" t="s">
        <v>36</v>
      </c>
      <c r="D156" s="1" t="s">
        <v>19</v>
      </c>
      <c r="E156" s="1" t="s">
        <v>126</v>
      </c>
      <c r="F156" s="1" t="s">
        <v>19</v>
      </c>
      <c r="G156" s="1" t="s">
        <v>19</v>
      </c>
      <c r="H156" s="1" t="s">
        <v>19</v>
      </c>
    </row>
    <row r="157" spans="1:8" ht="59" x14ac:dyDescent="0.75">
      <c r="A157" s="1" t="s">
        <v>16</v>
      </c>
      <c r="B157" s="1" t="s">
        <v>25</v>
      </c>
      <c r="C157" s="1" t="s">
        <v>47</v>
      </c>
      <c r="D157" s="1" t="s">
        <v>19</v>
      </c>
      <c r="E157" s="1" t="s">
        <v>19</v>
      </c>
      <c r="F157" s="1" t="s">
        <v>127</v>
      </c>
      <c r="G157" s="1" t="s">
        <v>19</v>
      </c>
      <c r="H157" s="1" t="s">
        <v>19</v>
      </c>
    </row>
    <row r="158" spans="1:8" ht="88.5" x14ac:dyDescent="0.75">
      <c r="A158" s="1" t="s">
        <v>21</v>
      </c>
      <c r="B158" s="1" t="s">
        <v>28</v>
      </c>
      <c r="C158" s="1" t="s">
        <v>42</v>
      </c>
      <c r="D158" s="1" t="s">
        <v>19</v>
      </c>
      <c r="E158" s="1" t="s">
        <v>19</v>
      </c>
      <c r="F158" s="1" t="s">
        <v>19</v>
      </c>
      <c r="G158" s="1" t="s">
        <v>19</v>
      </c>
      <c r="H158" s="1" t="s">
        <v>19</v>
      </c>
    </row>
    <row r="159" spans="1:8" ht="44.25" x14ac:dyDescent="0.75">
      <c r="A159" s="1" t="s">
        <v>16</v>
      </c>
      <c r="B159" s="1" t="s">
        <v>37</v>
      </c>
      <c r="C159" s="1" t="s">
        <v>45</v>
      </c>
      <c r="D159" s="1" t="s">
        <v>19</v>
      </c>
      <c r="E159" s="1" t="s">
        <v>19</v>
      </c>
      <c r="F159" s="1" t="s">
        <v>19</v>
      </c>
      <c r="G159" s="1" t="s">
        <v>128</v>
      </c>
      <c r="H159" s="1" t="s">
        <v>19</v>
      </c>
    </row>
    <row r="160" spans="1:8" ht="59" x14ac:dyDescent="0.75">
      <c r="A160" s="1" t="s">
        <v>31</v>
      </c>
      <c r="B160" s="1" t="s">
        <v>17</v>
      </c>
      <c r="C160" s="1" t="s">
        <v>39</v>
      </c>
      <c r="D160" s="1" t="s">
        <v>19</v>
      </c>
      <c r="E160" s="1" t="s">
        <v>19</v>
      </c>
      <c r="F160" s="1" t="s">
        <v>19</v>
      </c>
      <c r="G160" s="1" t="s">
        <v>129</v>
      </c>
      <c r="H160" s="1" t="s">
        <v>19</v>
      </c>
    </row>
    <row r="161" spans="1:8" ht="59" x14ac:dyDescent="0.75">
      <c r="A161" s="1" t="s">
        <v>16</v>
      </c>
      <c r="B161" s="1" t="s">
        <v>25</v>
      </c>
      <c r="C161" s="1" t="s">
        <v>26</v>
      </c>
      <c r="D161" s="1" t="s">
        <v>19</v>
      </c>
      <c r="E161" s="1" t="s">
        <v>130</v>
      </c>
      <c r="F161" s="1" t="s">
        <v>19</v>
      </c>
      <c r="G161" s="1" t="s">
        <v>19</v>
      </c>
      <c r="H161" s="1" t="s">
        <v>19</v>
      </c>
    </row>
    <row r="162" spans="1:8" ht="59" x14ac:dyDescent="0.75">
      <c r="A162" s="1" t="s">
        <v>21</v>
      </c>
      <c r="B162" s="1" t="s">
        <v>25</v>
      </c>
      <c r="C162" s="1" t="s">
        <v>18</v>
      </c>
      <c r="D162" s="1" t="s">
        <v>19</v>
      </c>
      <c r="E162" s="1" t="s">
        <v>19</v>
      </c>
      <c r="F162" s="1" t="s">
        <v>19</v>
      </c>
      <c r="G162" s="1" t="s">
        <v>19</v>
      </c>
      <c r="H162" s="1" t="s">
        <v>19</v>
      </c>
    </row>
    <row r="163" spans="1:8" ht="59" x14ac:dyDescent="0.75">
      <c r="A163" s="1" t="s">
        <v>16</v>
      </c>
      <c r="B163" s="1" t="s">
        <v>25</v>
      </c>
      <c r="C163" s="1" t="s">
        <v>34</v>
      </c>
      <c r="D163" s="1" t="s">
        <v>19</v>
      </c>
      <c r="E163" s="1" t="s">
        <v>19</v>
      </c>
      <c r="F163" s="1" t="s">
        <v>19</v>
      </c>
      <c r="G163" s="1" t="s">
        <v>19</v>
      </c>
      <c r="H163" s="1" t="s">
        <v>131</v>
      </c>
    </row>
    <row r="164" spans="1:8" ht="59" x14ac:dyDescent="0.75">
      <c r="A164" s="1" t="s">
        <v>63</v>
      </c>
      <c r="B164" s="1" t="s">
        <v>25</v>
      </c>
      <c r="C164" s="1" t="s">
        <v>43</v>
      </c>
      <c r="D164" s="1" t="s">
        <v>19</v>
      </c>
      <c r="E164" s="1" t="s">
        <v>132</v>
      </c>
      <c r="F164" s="1" t="s">
        <v>19</v>
      </c>
      <c r="G164" s="1" t="s">
        <v>19</v>
      </c>
      <c r="H164" s="1" t="s">
        <v>19</v>
      </c>
    </row>
    <row r="165" spans="1:8" ht="59" x14ac:dyDescent="0.75">
      <c r="A165" s="1" t="s">
        <v>16</v>
      </c>
      <c r="B165" s="1" t="s">
        <v>22</v>
      </c>
      <c r="C165" s="1" t="s">
        <v>41</v>
      </c>
      <c r="D165" s="1" t="s">
        <v>19</v>
      </c>
      <c r="E165" s="1" t="s">
        <v>19</v>
      </c>
      <c r="F165" s="1" t="s">
        <v>19</v>
      </c>
      <c r="G165" s="1" t="s">
        <v>133</v>
      </c>
      <c r="H165" s="1" t="s">
        <v>19</v>
      </c>
    </row>
    <row r="166" spans="1:8" ht="88.5" x14ac:dyDescent="0.75">
      <c r="A166" s="1" t="s">
        <v>24</v>
      </c>
      <c r="B166" s="1" t="s">
        <v>28</v>
      </c>
      <c r="C166" s="1" t="s">
        <v>18</v>
      </c>
      <c r="D166" s="1" t="s">
        <v>134</v>
      </c>
      <c r="E166" s="1" t="s">
        <v>19</v>
      </c>
      <c r="F166" s="1" t="s">
        <v>19</v>
      </c>
      <c r="G166" s="1" t="s">
        <v>19</v>
      </c>
      <c r="H166" s="1" t="s">
        <v>19</v>
      </c>
    </row>
    <row r="167" spans="1:8" ht="59" x14ac:dyDescent="0.75">
      <c r="A167" s="1" t="s">
        <v>16</v>
      </c>
      <c r="B167" s="1" t="s">
        <v>25</v>
      </c>
      <c r="C167" s="1" t="s">
        <v>45</v>
      </c>
      <c r="D167" s="1" t="s">
        <v>19</v>
      </c>
      <c r="E167" s="1" t="s">
        <v>19</v>
      </c>
      <c r="F167" s="1" t="s">
        <v>19</v>
      </c>
      <c r="G167" s="1" t="s">
        <v>135</v>
      </c>
      <c r="H167" s="1" t="s">
        <v>19</v>
      </c>
    </row>
    <row r="168" spans="1:8" ht="59" x14ac:dyDescent="0.75">
      <c r="A168" s="1" t="s">
        <v>31</v>
      </c>
      <c r="B168" s="1" t="s">
        <v>22</v>
      </c>
      <c r="C168" s="1" t="s">
        <v>41</v>
      </c>
      <c r="D168" s="1" t="s">
        <v>19</v>
      </c>
      <c r="E168" s="1" t="s">
        <v>136</v>
      </c>
      <c r="F168" s="1" t="s">
        <v>19</v>
      </c>
      <c r="G168" s="1" t="s">
        <v>19</v>
      </c>
      <c r="H168" s="1" t="s">
        <v>19</v>
      </c>
    </row>
    <row r="169" spans="1:8" ht="88.5" x14ac:dyDescent="0.75">
      <c r="A169" s="1" t="s">
        <v>24</v>
      </c>
      <c r="B169" s="1" t="s">
        <v>28</v>
      </c>
      <c r="C169" s="1" t="s">
        <v>26</v>
      </c>
      <c r="D169" s="1" t="s">
        <v>19</v>
      </c>
      <c r="E169" s="1" t="s">
        <v>19</v>
      </c>
      <c r="F169" s="1" t="s">
        <v>19</v>
      </c>
      <c r="G169" s="1" t="s">
        <v>19</v>
      </c>
      <c r="H169" s="1" t="s">
        <v>19</v>
      </c>
    </row>
    <row r="170" spans="1:8" ht="59" x14ac:dyDescent="0.75">
      <c r="A170" s="1" t="s">
        <v>21</v>
      </c>
      <c r="B170" s="1" t="s">
        <v>25</v>
      </c>
      <c r="C170" s="1" t="s">
        <v>64</v>
      </c>
      <c r="D170" s="1" t="s">
        <v>19</v>
      </c>
      <c r="E170" s="1" t="s">
        <v>19</v>
      </c>
      <c r="F170" s="1" t="s">
        <v>19</v>
      </c>
      <c r="G170" s="1" t="s">
        <v>19</v>
      </c>
      <c r="H170" s="1" t="s">
        <v>19</v>
      </c>
    </row>
    <row r="171" spans="1:8" ht="88.5" x14ac:dyDescent="0.75">
      <c r="A171" s="1" t="s">
        <v>16</v>
      </c>
      <c r="B171" s="1" t="s">
        <v>32</v>
      </c>
      <c r="C171" s="1" t="s">
        <v>43</v>
      </c>
      <c r="D171" s="1" t="s">
        <v>19</v>
      </c>
      <c r="E171" s="1" t="s">
        <v>19</v>
      </c>
      <c r="F171" s="1" t="s">
        <v>19</v>
      </c>
      <c r="G171" s="1" t="s">
        <v>19</v>
      </c>
      <c r="H171" s="1" t="s">
        <v>19</v>
      </c>
    </row>
    <row r="172" spans="1:8" ht="59" x14ac:dyDescent="0.75">
      <c r="A172" s="1" t="s">
        <v>24</v>
      </c>
      <c r="B172" s="1" t="s">
        <v>25</v>
      </c>
      <c r="C172" s="1" t="s">
        <v>26</v>
      </c>
      <c r="D172" s="1" t="s">
        <v>19</v>
      </c>
      <c r="E172" s="1" t="s">
        <v>19</v>
      </c>
      <c r="F172" s="1" t="s">
        <v>19</v>
      </c>
      <c r="G172" s="1" t="s">
        <v>19</v>
      </c>
      <c r="H172" s="1" t="s">
        <v>19</v>
      </c>
    </row>
    <row r="173" spans="1:8" ht="59" x14ac:dyDescent="0.75">
      <c r="A173" s="1" t="s">
        <v>21</v>
      </c>
      <c r="B173" s="1" t="s">
        <v>25</v>
      </c>
      <c r="C173" s="1" t="s">
        <v>43</v>
      </c>
      <c r="D173" s="1" t="s">
        <v>19</v>
      </c>
      <c r="E173" s="1" t="s">
        <v>137</v>
      </c>
      <c r="F173" s="1" t="s">
        <v>19</v>
      </c>
      <c r="G173" s="1" t="s">
        <v>19</v>
      </c>
      <c r="H173" s="1" t="s">
        <v>19</v>
      </c>
    </row>
    <row r="174" spans="1:8" ht="59" x14ac:dyDescent="0.75">
      <c r="A174" s="1" t="s">
        <v>16</v>
      </c>
      <c r="B174" s="1" t="s">
        <v>25</v>
      </c>
      <c r="C174" s="1" t="s">
        <v>45</v>
      </c>
      <c r="D174" s="1" t="s">
        <v>19</v>
      </c>
      <c r="E174" s="1" t="s">
        <v>19</v>
      </c>
      <c r="F174" s="1" t="s">
        <v>19</v>
      </c>
      <c r="G174" s="1" t="s">
        <v>19</v>
      </c>
      <c r="H174" s="1" t="s">
        <v>19</v>
      </c>
    </row>
    <row r="175" spans="1:8" ht="44.25" x14ac:dyDescent="0.75">
      <c r="A175" s="1" t="s">
        <v>24</v>
      </c>
      <c r="B175" s="1" t="s">
        <v>37</v>
      </c>
      <c r="C175" s="1" t="s">
        <v>109</v>
      </c>
      <c r="D175" s="1" t="s">
        <v>19</v>
      </c>
      <c r="E175" s="1" t="s">
        <v>19</v>
      </c>
      <c r="F175" s="1" t="s">
        <v>19</v>
      </c>
      <c r="G175" s="1" t="s">
        <v>19</v>
      </c>
      <c r="H175" s="1" t="s">
        <v>19</v>
      </c>
    </row>
    <row r="176" spans="1:8" ht="59" x14ac:dyDescent="0.75">
      <c r="A176" s="1" t="s">
        <v>31</v>
      </c>
      <c r="B176" s="1" t="s">
        <v>138</v>
      </c>
      <c r="C176" s="1" t="s">
        <v>26</v>
      </c>
      <c r="D176" s="1" t="s">
        <v>19</v>
      </c>
      <c r="E176" s="1" t="s">
        <v>19</v>
      </c>
      <c r="F176" s="1" t="s">
        <v>139</v>
      </c>
      <c r="G176" s="1" t="s">
        <v>19</v>
      </c>
      <c r="H176" s="1" t="s">
        <v>19</v>
      </c>
    </row>
    <row r="177" spans="1:8" ht="59" x14ac:dyDescent="0.75">
      <c r="A177" s="1" t="s">
        <v>21</v>
      </c>
      <c r="B177" s="1" t="s">
        <v>25</v>
      </c>
      <c r="C177" s="1" t="s">
        <v>57</v>
      </c>
      <c r="D177" s="1" t="s">
        <v>19</v>
      </c>
      <c r="E177" s="1" t="s">
        <v>19</v>
      </c>
      <c r="F177" s="1" t="s">
        <v>19</v>
      </c>
      <c r="G177" s="1" t="s">
        <v>140</v>
      </c>
      <c r="H177" s="1" t="s">
        <v>19</v>
      </c>
    </row>
    <row r="178" spans="1:8" ht="59" x14ac:dyDescent="0.75">
      <c r="A178" s="1" t="s">
        <v>24</v>
      </c>
      <c r="B178" s="1" t="s">
        <v>17</v>
      </c>
      <c r="C178" s="1" t="s">
        <v>69</v>
      </c>
      <c r="D178" s="1" t="s">
        <v>19</v>
      </c>
      <c r="E178" s="1" t="s">
        <v>19</v>
      </c>
      <c r="F178" s="1" t="s">
        <v>141</v>
      </c>
      <c r="G178" s="1" t="s">
        <v>19</v>
      </c>
      <c r="H178" s="1" t="s">
        <v>19</v>
      </c>
    </row>
    <row r="179" spans="1:8" ht="59" x14ac:dyDescent="0.75">
      <c r="A179" s="1" t="s">
        <v>24</v>
      </c>
      <c r="B179" s="1" t="s">
        <v>25</v>
      </c>
      <c r="C179" s="1" t="s">
        <v>18</v>
      </c>
      <c r="D179" s="1" t="s">
        <v>19</v>
      </c>
      <c r="E179" s="1" t="s">
        <v>19</v>
      </c>
      <c r="F179" s="1" t="s">
        <v>19</v>
      </c>
      <c r="G179" s="1" t="s">
        <v>19</v>
      </c>
      <c r="H179" s="1" t="s">
        <v>19</v>
      </c>
    </row>
    <row r="180" spans="1:8" ht="73.75" x14ac:dyDescent="0.75">
      <c r="A180" s="1" t="s">
        <v>31</v>
      </c>
      <c r="B180" s="1" t="s">
        <v>17</v>
      </c>
      <c r="C180" s="1" t="s">
        <v>39</v>
      </c>
      <c r="D180" s="1" t="s">
        <v>142</v>
      </c>
      <c r="E180" s="1" t="s">
        <v>19</v>
      </c>
      <c r="F180" s="1" t="s">
        <v>19</v>
      </c>
      <c r="G180" s="1" t="s">
        <v>19</v>
      </c>
      <c r="H180" s="1" t="s">
        <v>19</v>
      </c>
    </row>
    <row r="181" spans="1:8" ht="59" x14ac:dyDescent="0.75">
      <c r="A181" s="1" t="s">
        <v>16</v>
      </c>
      <c r="B181" s="1" t="s">
        <v>25</v>
      </c>
      <c r="C181" s="1" t="s">
        <v>42</v>
      </c>
      <c r="D181" s="1" t="s">
        <v>19</v>
      </c>
      <c r="E181" s="1" t="s">
        <v>19</v>
      </c>
      <c r="F181" s="1" t="s">
        <v>143</v>
      </c>
      <c r="G181" s="1" t="s">
        <v>19</v>
      </c>
      <c r="H181" s="1" t="s">
        <v>19</v>
      </c>
    </row>
    <row r="182" spans="1:8" ht="59" x14ac:dyDescent="0.75">
      <c r="A182" s="1" t="s">
        <v>24</v>
      </c>
      <c r="B182" s="1" t="s">
        <v>25</v>
      </c>
      <c r="C182" s="1" t="s">
        <v>47</v>
      </c>
      <c r="D182" s="1" t="s">
        <v>19</v>
      </c>
      <c r="E182" s="1" t="s">
        <v>19</v>
      </c>
      <c r="F182" s="1" t="s">
        <v>19</v>
      </c>
      <c r="G182" s="1" t="s">
        <v>19</v>
      </c>
      <c r="H182" s="1" t="s">
        <v>19</v>
      </c>
    </row>
    <row r="183" spans="1:8" ht="88.5" x14ac:dyDescent="0.75">
      <c r="A183" s="1" t="s">
        <v>24</v>
      </c>
      <c r="B183" s="1" t="s">
        <v>25</v>
      </c>
      <c r="C183" s="1" t="s">
        <v>47</v>
      </c>
      <c r="D183" s="1" t="s">
        <v>19</v>
      </c>
      <c r="E183" s="1" t="s">
        <v>144</v>
      </c>
      <c r="F183" s="1" t="s">
        <v>19</v>
      </c>
      <c r="G183" s="1" t="s">
        <v>19</v>
      </c>
      <c r="H183" s="1" t="s">
        <v>19</v>
      </c>
    </row>
    <row r="184" spans="1:8" ht="103.25" x14ac:dyDescent="0.75">
      <c r="A184" s="1" t="s">
        <v>16</v>
      </c>
      <c r="B184" s="1" t="s">
        <v>22</v>
      </c>
      <c r="C184" s="1" t="s">
        <v>29</v>
      </c>
      <c r="D184" s="1" t="s">
        <v>145</v>
      </c>
      <c r="E184" s="1" t="s">
        <v>19</v>
      </c>
      <c r="F184" s="1" t="s">
        <v>19</v>
      </c>
      <c r="G184" s="1" t="s">
        <v>19</v>
      </c>
      <c r="H184" s="1" t="s">
        <v>19</v>
      </c>
    </row>
    <row r="185" spans="1:8" ht="88.5" x14ac:dyDescent="0.75">
      <c r="A185" s="1" t="s">
        <v>24</v>
      </c>
      <c r="B185" s="1" t="s">
        <v>74</v>
      </c>
      <c r="C185" s="1" t="s">
        <v>57</v>
      </c>
      <c r="D185" s="1" t="s">
        <v>19</v>
      </c>
      <c r="E185" s="1" t="s">
        <v>19</v>
      </c>
      <c r="F185" s="1" t="s">
        <v>19</v>
      </c>
      <c r="G185" s="1" t="s">
        <v>19</v>
      </c>
      <c r="H185" s="1" t="s">
        <v>146</v>
      </c>
    </row>
    <row r="186" spans="1:8" ht="59" x14ac:dyDescent="0.75">
      <c r="A186" s="1" t="s">
        <v>31</v>
      </c>
      <c r="B186" s="1" t="s">
        <v>25</v>
      </c>
      <c r="C186" s="1" t="s">
        <v>39</v>
      </c>
      <c r="D186" s="1" t="s">
        <v>19</v>
      </c>
      <c r="E186" s="1" t="s">
        <v>19</v>
      </c>
      <c r="F186" s="1" t="s">
        <v>19</v>
      </c>
      <c r="G186" s="1" t="s">
        <v>19</v>
      </c>
      <c r="H186" s="1" t="s">
        <v>19</v>
      </c>
    </row>
    <row r="187" spans="1:8" ht="59" x14ac:dyDescent="0.75">
      <c r="A187" s="1" t="s">
        <v>16</v>
      </c>
      <c r="B187" s="1" t="s">
        <v>138</v>
      </c>
      <c r="C187" s="1" t="s">
        <v>45</v>
      </c>
      <c r="D187" s="1" t="s">
        <v>19</v>
      </c>
      <c r="E187" s="1" t="s">
        <v>19</v>
      </c>
      <c r="F187" s="1" t="s">
        <v>19</v>
      </c>
      <c r="G187" s="1" t="s">
        <v>19</v>
      </c>
      <c r="H187" s="1" t="s">
        <v>19</v>
      </c>
    </row>
    <row r="188" spans="1:8" ht="59" x14ac:dyDescent="0.75">
      <c r="A188" s="1" t="s">
        <v>16</v>
      </c>
      <c r="B188" s="1" t="s">
        <v>25</v>
      </c>
      <c r="C188" s="1" t="s">
        <v>36</v>
      </c>
      <c r="D188" s="1" t="s">
        <v>19</v>
      </c>
      <c r="E188" s="1" t="s">
        <v>19</v>
      </c>
      <c r="F188" s="1" t="s">
        <v>19</v>
      </c>
      <c r="G188" s="1" t="s">
        <v>19</v>
      </c>
      <c r="H188" s="1" t="s">
        <v>19</v>
      </c>
    </row>
    <row r="189" spans="1:8" ht="59" x14ac:dyDescent="0.75">
      <c r="A189" s="1" t="s">
        <v>16</v>
      </c>
      <c r="B189" s="1" t="s">
        <v>25</v>
      </c>
      <c r="C189" s="1" t="s">
        <v>36</v>
      </c>
      <c r="D189" s="1" t="s">
        <v>147</v>
      </c>
      <c r="E189" s="1" t="s">
        <v>19</v>
      </c>
      <c r="F189" s="1" t="s">
        <v>19</v>
      </c>
      <c r="G189" s="1" t="s">
        <v>19</v>
      </c>
      <c r="H189" s="1" t="s">
        <v>19</v>
      </c>
    </row>
    <row r="190" spans="1:8" ht="59" x14ac:dyDescent="0.75">
      <c r="A190" s="1" t="s">
        <v>21</v>
      </c>
      <c r="B190" s="1" t="s">
        <v>25</v>
      </c>
      <c r="C190" s="1" t="s">
        <v>26</v>
      </c>
      <c r="D190" s="1" t="s">
        <v>148</v>
      </c>
      <c r="E190" s="1" t="s">
        <v>19</v>
      </c>
      <c r="F190" s="1" t="s">
        <v>19</v>
      </c>
      <c r="G190" s="1" t="s">
        <v>19</v>
      </c>
      <c r="H190" s="1" t="s">
        <v>19</v>
      </c>
    </row>
    <row r="191" spans="1:8" ht="88.5" x14ac:dyDescent="0.75">
      <c r="A191" s="1" t="s">
        <v>31</v>
      </c>
      <c r="B191" s="1" t="s">
        <v>28</v>
      </c>
      <c r="C191" s="1" t="s">
        <v>39</v>
      </c>
      <c r="D191" s="1" t="s">
        <v>19</v>
      </c>
      <c r="E191" s="1" t="s">
        <v>19</v>
      </c>
      <c r="F191" s="1" t="s">
        <v>19</v>
      </c>
      <c r="G191" s="1" t="s">
        <v>19</v>
      </c>
      <c r="H191" s="1" t="s">
        <v>19</v>
      </c>
    </row>
    <row r="192" spans="1:8" ht="59" x14ac:dyDescent="0.75">
      <c r="A192" s="1" t="s">
        <v>31</v>
      </c>
      <c r="B192" s="1" t="s">
        <v>25</v>
      </c>
      <c r="C192" s="1" t="s">
        <v>36</v>
      </c>
      <c r="D192" s="1" t="s">
        <v>19</v>
      </c>
      <c r="E192" s="1" t="s">
        <v>19</v>
      </c>
      <c r="F192" s="1" t="s">
        <v>149</v>
      </c>
      <c r="G192" s="1" t="s">
        <v>19</v>
      </c>
      <c r="H192" s="1" t="s">
        <v>19</v>
      </c>
    </row>
    <row r="193" spans="1:8" ht="59" x14ac:dyDescent="0.75">
      <c r="A193" s="1" t="s">
        <v>31</v>
      </c>
      <c r="B193" s="1" t="s">
        <v>17</v>
      </c>
      <c r="C193" s="1" t="s">
        <v>45</v>
      </c>
      <c r="D193" s="1" t="s">
        <v>19</v>
      </c>
      <c r="E193" s="1" t="s">
        <v>19</v>
      </c>
      <c r="F193" s="1" t="s">
        <v>19</v>
      </c>
      <c r="G193" s="1" t="s">
        <v>19</v>
      </c>
      <c r="H193" s="1" t="s">
        <v>19</v>
      </c>
    </row>
    <row r="194" spans="1:8" ht="59" x14ac:dyDescent="0.75">
      <c r="A194" s="1" t="s">
        <v>63</v>
      </c>
      <c r="B194" s="1" t="s">
        <v>150</v>
      </c>
      <c r="C194" s="1" t="s">
        <v>47</v>
      </c>
      <c r="D194" s="1" t="s">
        <v>19</v>
      </c>
      <c r="E194" s="1" t="s">
        <v>19</v>
      </c>
      <c r="F194" s="1" t="s">
        <v>19</v>
      </c>
      <c r="G194" s="1" t="s">
        <v>151</v>
      </c>
      <c r="H194" s="1" t="s">
        <v>19</v>
      </c>
    </row>
    <row r="195" spans="1:8" ht="88.5" x14ac:dyDescent="0.75">
      <c r="A195" s="1" t="s">
        <v>16</v>
      </c>
      <c r="B195" s="1" t="s">
        <v>32</v>
      </c>
      <c r="C195" s="1" t="s">
        <v>36</v>
      </c>
      <c r="D195" s="1" t="s">
        <v>19</v>
      </c>
      <c r="E195" s="1" t="s">
        <v>19</v>
      </c>
      <c r="F195" s="1" t="s">
        <v>19</v>
      </c>
      <c r="G195" s="1" t="s">
        <v>19</v>
      </c>
      <c r="H195" s="1" t="s">
        <v>19</v>
      </c>
    </row>
    <row r="196" spans="1:8" ht="59" x14ac:dyDescent="0.75">
      <c r="A196" s="1" t="s">
        <v>21</v>
      </c>
      <c r="B196" s="1" t="s">
        <v>25</v>
      </c>
      <c r="C196" s="1" t="s">
        <v>45</v>
      </c>
      <c r="D196" s="1" t="s">
        <v>19</v>
      </c>
      <c r="E196" s="1" t="s">
        <v>19</v>
      </c>
      <c r="F196" s="1" t="s">
        <v>19</v>
      </c>
      <c r="G196" s="1" t="s">
        <v>19</v>
      </c>
      <c r="H196" s="1" t="s">
        <v>152</v>
      </c>
    </row>
    <row r="197" spans="1:8" ht="59" x14ac:dyDescent="0.75">
      <c r="A197" s="1" t="s">
        <v>16</v>
      </c>
      <c r="B197" s="1" t="s">
        <v>25</v>
      </c>
      <c r="C197" s="1" t="s">
        <v>23</v>
      </c>
      <c r="D197" s="1" t="s">
        <v>19</v>
      </c>
      <c r="E197" s="1" t="s">
        <v>19</v>
      </c>
      <c r="F197" s="1" t="s">
        <v>153</v>
      </c>
      <c r="G197" s="1" t="s">
        <v>19</v>
      </c>
      <c r="H197" s="1" t="s">
        <v>19</v>
      </c>
    </row>
    <row r="198" spans="1:8" ht="44.25" x14ac:dyDescent="0.75">
      <c r="A198" s="1" t="s">
        <v>24</v>
      </c>
      <c r="B198" s="1" t="s">
        <v>22</v>
      </c>
      <c r="C198" s="1" t="s">
        <v>57</v>
      </c>
      <c r="D198" s="1" t="s">
        <v>19</v>
      </c>
      <c r="E198" s="1" t="s">
        <v>19</v>
      </c>
      <c r="F198" s="1" t="s">
        <v>154</v>
      </c>
      <c r="G198" s="1" t="s">
        <v>19</v>
      </c>
      <c r="H198" s="1" t="s">
        <v>19</v>
      </c>
    </row>
    <row r="199" spans="1:8" ht="59" x14ac:dyDescent="0.75">
      <c r="A199" s="1" t="s">
        <v>24</v>
      </c>
      <c r="B199" s="1" t="s">
        <v>17</v>
      </c>
      <c r="C199" s="1" t="s">
        <v>23</v>
      </c>
      <c r="D199" s="1" t="s">
        <v>19</v>
      </c>
      <c r="E199" s="1" t="s">
        <v>19</v>
      </c>
      <c r="F199" s="1" t="s">
        <v>19</v>
      </c>
      <c r="G199" s="1" t="s">
        <v>19</v>
      </c>
      <c r="H199" s="1" t="s">
        <v>19</v>
      </c>
    </row>
    <row r="200" spans="1:8" ht="59" x14ac:dyDescent="0.75">
      <c r="A200" s="1" t="s">
        <v>16</v>
      </c>
      <c r="B200" s="1" t="s">
        <v>138</v>
      </c>
      <c r="C200" s="1" t="s">
        <v>47</v>
      </c>
      <c r="D200" s="1" t="s">
        <v>19</v>
      </c>
      <c r="E200" s="1" t="s">
        <v>19</v>
      </c>
      <c r="F200" s="1" t="s">
        <v>19</v>
      </c>
      <c r="G200" s="1" t="s">
        <v>19</v>
      </c>
      <c r="H200" s="1" t="s">
        <v>155</v>
      </c>
    </row>
    <row r="201" spans="1:8" ht="44.25" x14ac:dyDescent="0.75">
      <c r="A201" s="1" t="s">
        <v>63</v>
      </c>
      <c r="B201" s="1" t="s">
        <v>37</v>
      </c>
      <c r="C201" s="1" t="s">
        <v>57</v>
      </c>
      <c r="D201" s="1" t="s">
        <v>156</v>
      </c>
      <c r="E201" s="1" t="s">
        <v>19</v>
      </c>
      <c r="F201" s="1" t="s">
        <v>19</v>
      </c>
      <c r="G201" s="1" t="s">
        <v>19</v>
      </c>
      <c r="H201" s="1" t="s">
        <v>19</v>
      </c>
    </row>
    <row r="202" spans="1:8" ht="103.25" x14ac:dyDescent="0.75">
      <c r="A202" s="1" t="s">
        <v>16</v>
      </c>
      <c r="B202" s="1" t="s">
        <v>28</v>
      </c>
      <c r="C202" s="1" t="s">
        <v>29</v>
      </c>
      <c r="D202" s="1" t="s">
        <v>19</v>
      </c>
      <c r="E202" s="1" t="s">
        <v>19</v>
      </c>
      <c r="F202" s="1" t="s">
        <v>19</v>
      </c>
      <c r="G202" s="1" t="s">
        <v>157</v>
      </c>
      <c r="H202" s="1" t="s">
        <v>19</v>
      </c>
    </row>
    <row r="203" spans="1:8" ht="59" x14ac:dyDescent="0.75">
      <c r="A203" s="1" t="s">
        <v>65</v>
      </c>
      <c r="B203" s="1" t="s">
        <v>25</v>
      </c>
      <c r="C203" s="1" t="s">
        <v>80</v>
      </c>
      <c r="D203" s="1" t="s">
        <v>19</v>
      </c>
      <c r="E203" s="1" t="s">
        <v>19</v>
      </c>
      <c r="F203" s="1" t="s">
        <v>19</v>
      </c>
      <c r="G203" s="1" t="s">
        <v>19</v>
      </c>
      <c r="H203" s="1" t="s">
        <v>19</v>
      </c>
    </row>
    <row r="204" spans="1:8" ht="88.5" x14ac:dyDescent="0.75">
      <c r="A204" s="1" t="s">
        <v>65</v>
      </c>
      <c r="B204" s="1" t="s">
        <v>32</v>
      </c>
      <c r="C204" s="1" t="s">
        <v>80</v>
      </c>
      <c r="D204" s="1" t="s">
        <v>19</v>
      </c>
      <c r="E204" s="1" t="s">
        <v>19</v>
      </c>
      <c r="F204" s="1" t="s">
        <v>19</v>
      </c>
      <c r="G204" s="1" t="s">
        <v>19</v>
      </c>
      <c r="H204" s="1" t="s">
        <v>19</v>
      </c>
    </row>
    <row r="205" spans="1:8" ht="73.75" x14ac:dyDescent="0.75">
      <c r="A205" s="1" t="s">
        <v>24</v>
      </c>
      <c r="B205" s="1" t="s">
        <v>25</v>
      </c>
      <c r="C205" s="1" t="s">
        <v>48</v>
      </c>
      <c r="D205" s="1" t="s">
        <v>19</v>
      </c>
      <c r="E205" s="1" t="s">
        <v>19</v>
      </c>
      <c r="F205" s="1" t="s">
        <v>19</v>
      </c>
      <c r="G205" s="1" t="s">
        <v>19</v>
      </c>
      <c r="H205" s="1" t="s">
        <v>19</v>
      </c>
    </row>
    <row r="206" spans="1:8" ht="59" x14ac:dyDescent="0.75">
      <c r="A206" s="1" t="s">
        <v>21</v>
      </c>
      <c r="B206" s="1" t="s">
        <v>25</v>
      </c>
      <c r="C206" s="1" t="s">
        <v>57</v>
      </c>
      <c r="D206" s="1" t="s">
        <v>19</v>
      </c>
      <c r="E206" s="1" t="s">
        <v>19</v>
      </c>
      <c r="F206" s="1" t="s">
        <v>19</v>
      </c>
      <c r="G206" s="1" t="s">
        <v>19</v>
      </c>
      <c r="H206" s="1" t="s">
        <v>158</v>
      </c>
    </row>
    <row r="207" spans="1:8" ht="59" x14ac:dyDescent="0.75">
      <c r="A207" s="1" t="s">
        <v>24</v>
      </c>
      <c r="B207" s="1" t="s">
        <v>25</v>
      </c>
      <c r="C207" s="1" t="s">
        <v>47</v>
      </c>
      <c r="D207" s="1" t="s">
        <v>19</v>
      </c>
      <c r="E207" s="1" t="s">
        <v>19</v>
      </c>
      <c r="F207" s="1" t="s">
        <v>19</v>
      </c>
      <c r="G207" s="1" t="s">
        <v>159</v>
      </c>
      <c r="H207" s="1" t="s">
        <v>19</v>
      </c>
    </row>
    <row r="208" spans="1:8" ht="88.5" x14ac:dyDescent="0.75">
      <c r="A208" s="1" t="s">
        <v>21</v>
      </c>
      <c r="B208" s="1" t="s">
        <v>28</v>
      </c>
      <c r="C208" s="1" t="s">
        <v>45</v>
      </c>
      <c r="D208" s="1" t="s">
        <v>19</v>
      </c>
      <c r="E208" s="1" t="s">
        <v>19</v>
      </c>
      <c r="F208" s="1" t="s">
        <v>19</v>
      </c>
      <c r="G208" s="1" t="s">
        <v>19</v>
      </c>
      <c r="H208" s="1" t="s">
        <v>19</v>
      </c>
    </row>
    <row r="209" spans="1:8" ht="59" x14ac:dyDescent="0.75">
      <c r="A209" s="1" t="s">
        <v>16</v>
      </c>
      <c r="B209" s="1" t="s">
        <v>17</v>
      </c>
      <c r="C209" s="1" t="s">
        <v>57</v>
      </c>
      <c r="D209" s="1" t="s">
        <v>19</v>
      </c>
      <c r="E209" s="1" t="s">
        <v>19</v>
      </c>
      <c r="F209" s="1" t="s">
        <v>19</v>
      </c>
      <c r="G209" s="1" t="s">
        <v>19</v>
      </c>
      <c r="H209" s="1" t="s">
        <v>19</v>
      </c>
    </row>
    <row r="210" spans="1:8" ht="103.25" x14ac:dyDescent="0.75">
      <c r="A210" s="1" t="s">
        <v>65</v>
      </c>
      <c r="B210" s="1" t="s">
        <v>25</v>
      </c>
      <c r="C210" s="1" t="s">
        <v>29</v>
      </c>
      <c r="D210" s="1" t="s">
        <v>19</v>
      </c>
      <c r="E210" s="1" t="s">
        <v>19</v>
      </c>
      <c r="F210" s="1" t="s">
        <v>19</v>
      </c>
      <c r="G210" s="1" t="s">
        <v>19</v>
      </c>
      <c r="H210" s="1" t="s">
        <v>19</v>
      </c>
    </row>
    <row r="211" spans="1:8" ht="59" x14ac:dyDescent="0.75">
      <c r="A211" s="1" t="s">
        <v>21</v>
      </c>
      <c r="B211" s="1" t="s">
        <v>22</v>
      </c>
      <c r="C211" s="1" t="s">
        <v>69</v>
      </c>
      <c r="D211" s="1" t="s">
        <v>19</v>
      </c>
      <c r="E211" s="1" t="s">
        <v>19</v>
      </c>
      <c r="F211" s="1" t="s">
        <v>19</v>
      </c>
      <c r="G211" s="1" t="s">
        <v>19</v>
      </c>
      <c r="H211" s="1" t="s">
        <v>19</v>
      </c>
    </row>
    <row r="212" spans="1:8" ht="59" x14ac:dyDescent="0.75">
      <c r="A212" s="1" t="s">
        <v>24</v>
      </c>
      <c r="B212" s="1" t="s">
        <v>22</v>
      </c>
      <c r="C212" s="1" t="s">
        <v>34</v>
      </c>
      <c r="D212" s="1" t="s">
        <v>19</v>
      </c>
      <c r="E212" s="1" t="s">
        <v>19</v>
      </c>
      <c r="F212" s="1" t="s">
        <v>19</v>
      </c>
      <c r="G212" s="1" t="s">
        <v>19</v>
      </c>
      <c r="H212" s="1" t="s">
        <v>19</v>
      </c>
    </row>
    <row r="213" spans="1:8" ht="59" x14ac:dyDescent="0.75">
      <c r="A213" s="1" t="s">
        <v>31</v>
      </c>
      <c r="B213" s="1" t="s">
        <v>25</v>
      </c>
      <c r="C213" s="1" t="s">
        <v>64</v>
      </c>
      <c r="D213" s="1" t="s">
        <v>19</v>
      </c>
      <c r="E213" s="1" t="s">
        <v>19</v>
      </c>
      <c r="F213" s="1" t="s">
        <v>19</v>
      </c>
      <c r="G213" s="1" t="s">
        <v>19</v>
      </c>
      <c r="H213" s="1" t="s">
        <v>19</v>
      </c>
    </row>
    <row r="214" spans="1:8" ht="59" x14ac:dyDescent="0.75">
      <c r="A214" s="1" t="s">
        <v>65</v>
      </c>
      <c r="B214" s="1" t="s">
        <v>37</v>
      </c>
      <c r="C214" s="1" t="s">
        <v>34</v>
      </c>
      <c r="D214" s="1" t="s">
        <v>19</v>
      </c>
      <c r="E214" s="1" t="s">
        <v>19</v>
      </c>
      <c r="F214" s="1" t="s">
        <v>19</v>
      </c>
      <c r="G214" s="1" t="s">
        <v>19</v>
      </c>
      <c r="H214" s="1" t="s">
        <v>19</v>
      </c>
    </row>
    <row r="215" spans="1:8" ht="59" x14ac:dyDescent="0.75">
      <c r="A215" s="1" t="s">
        <v>24</v>
      </c>
      <c r="B215" s="1" t="s">
        <v>25</v>
      </c>
      <c r="C215" s="1" t="s">
        <v>23</v>
      </c>
      <c r="D215" s="1" t="s">
        <v>19</v>
      </c>
      <c r="E215" s="1" t="s">
        <v>19</v>
      </c>
      <c r="F215" s="1" t="s">
        <v>19</v>
      </c>
      <c r="G215" s="1" t="s">
        <v>19</v>
      </c>
      <c r="H215" s="1" t="s">
        <v>19</v>
      </c>
    </row>
    <row r="216" spans="1:8" ht="59" x14ac:dyDescent="0.75">
      <c r="A216" s="1" t="s">
        <v>24</v>
      </c>
      <c r="B216" s="1" t="s">
        <v>25</v>
      </c>
      <c r="C216" s="1" t="s">
        <v>64</v>
      </c>
      <c r="D216" s="1" t="s">
        <v>19</v>
      </c>
      <c r="E216" s="1" t="s">
        <v>19</v>
      </c>
      <c r="F216" s="1" t="s">
        <v>160</v>
      </c>
      <c r="G216" s="1" t="s">
        <v>19</v>
      </c>
      <c r="H216" s="1" t="s">
        <v>19</v>
      </c>
    </row>
    <row r="217" spans="1:8" ht="88.5" x14ac:dyDescent="0.75">
      <c r="A217" s="1" t="s">
        <v>24</v>
      </c>
      <c r="B217" s="1" t="s">
        <v>28</v>
      </c>
      <c r="C217" s="1" t="s">
        <v>34</v>
      </c>
      <c r="D217" s="1" t="s">
        <v>19</v>
      </c>
      <c r="E217" s="1" t="s">
        <v>19</v>
      </c>
      <c r="F217" s="1" t="s">
        <v>19</v>
      </c>
      <c r="G217" s="1" t="s">
        <v>19</v>
      </c>
      <c r="H217" s="1" t="s">
        <v>19</v>
      </c>
    </row>
    <row r="218" spans="1:8" ht="103.25" x14ac:dyDescent="0.75">
      <c r="A218" s="1" t="s">
        <v>16</v>
      </c>
      <c r="B218" s="1" t="s">
        <v>25</v>
      </c>
      <c r="C218" s="1" t="s">
        <v>29</v>
      </c>
      <c r="D218" s="1" t="s">
        <v>19</v>
      </c>
      <c r="E218" s="1" t="s">
        <v>19</v>
      </c>
      <c r="F218" s="1" t="s">
        <v>161</v>
      </c>
      <c r="G218" s="1" t="s">
        <v>19</v>
      </c>
      <c r="H218" s="1" t="s">
        <v>19</v>
      </c>
    </row>
    <row r="219" spans="1:8" ht="44.25" x14ac:dyDescent="0.75">
      <c r="A219" s="1" t="s">
        <v>78</v>
      </c>
      <c r="B219" s="1" t="s">
        <v>37</v>
      </c>
      <c r="C219" s="1" t="s">
        <v>39</v>
      </c>
      <c r="D219" s="1" t="s">
        <v>19</v>
      </c>
      <c r="E219" s="1" t="s">
        <v>19</v>
      </c>
      <c r="F219" s="1" t="s">
        <v>19</v>
      </c>
      <c r="G219" s="1" t="s">
        <v>162</v>
      </c>
      <c r="H219" s="1" t="s">
        <v>19</v>
      </c>
    </row>
    <row r="220" spans="1:8" ht="88.5" x14ac:dyDescent="0.75">
      <c r="A220" s="1" t="s">
        <v>31</v>
      </c>
      <c r="B220" s="1" t="s">
        <v>28</v>
      </c>
      <c r="C220" s="1" t="s">
        <v>48</v>
      </c>
      <c r="D220" s="1" t="s">
        <v>19</v>
      </c>
      <c r="E220" s="1" t="s">
        <v>19</v>
      </c>
      <c r="F220" s="1" t="s">
        <v>19</v>
      </c>
      <c r="G220" s="1" t="s">
        <v>19</v>
      </c>
      <c r="H220" s="1" t="s">
        <v>19</v>
      </c>
    </row>
    <row r="221" spans="1:8" ht="59" x14ac:dyDescent="0.75">
      <c r="A221" s="1" t="s">
        <v>24</v>
      </c>
      <c r="B221" s="1" t="s">
        <v>37</v>
      </c>
      <c r="C221" s="1" t="s">
        <v>41</v>
      </c>
      <c r="D221" s="1" t="s">
        <v>19</v>
      </c>
      <c r="E221" s="1" t="s">
        <v>19</v>
      </c>
      <c r="F221" s="1" t="s">
        <v>19</v>
      </c>
      <c r="G221" s="1" t="s">
        <v>19</v>
      </c>
      <c r="H221" s="1" t="s">
        <v>19</v>
      </c>
    </row>
    <row r="222" spans="1:8" ht="59" x14ac:dyDescent="0.75">
      <c r="A222" s="1" t="s">
        <v>16</v>
      </c>
      <c r="B222" s="1" t="s">
        <v>25</v>
      </c>
      <c r="C222" s="1" t="s">
        <v>43</v>
      </c>
      <c r="D222" s="1" t="s">
        <v>19</v>
      </c>
      <c r="E222" s="1" t="s">
        <v>19</v>
      </c>
      <c r="F222" s="1" t="s">
        <v>19</v>
      </c>
      <c r="G222" s="1" t="s">
        <v>19</v>
      </c>
      <c r="H222" s="1" t="s">
        <v>19</v>
      </c>
    </row>
    <row r="223" spans="1:8" ht="44.25" x14ac:dyDescent="0.75">
      <c r="A223" s="1" t="s">
        <v>31</v>
      </c>
      <c r="B223" s="1" t="s">
        <v>22</v>
      </c>
      <c r="C223" s="1" t="s">
        <v>23</v>
      </c>
      <c r="D223" s="1" t="s">
        <v>19</v>
      </c>
      <c r="E223" s="1" t="s">
        <v>19</v>
      </c>
      <c r="F223" s="1" t="s">
        <v>19</v>
      </c>
      <c r="G223" s="1" t="s">
        <v>19</v>
      </c>
      <c r="H223" s="1" t="s">
        <v>19</v>
      </c>
    </row>
    <row r="224" spans="1:8" ht="88.5" x14ac:dyDescent="0.75">
      <c r="A224" s="1" t="s">
        <v>16</v>
      </c>
      <c r="B224" s="1" t="s">
        <v>28</v>
      </c>
      <c r="C224" s="1" t="s">
        <v>41</v>
      </c>
      <c r="D224" s="1" t="s">
        <v>163</v>
      </c>
      <c r="E224" s="1" t="s">
        <v>19</v>
      </c>
      <c r="F224" s="1" t="s">
        <v>19</v>
      </c>
      <c r="G224" s="1" t="s">
        <v>19</v>
      </c>
      <c r="H224" s="1" t="s">
        <v>19</v>
      </c>
    </row>
    <row r="225" spans="1:8" ht="103.25" x14ac:dyDescent="0.75">
      <c r="A225" s="1" t="s">
        <v>24</v>
      </c>
      <c r="B225" s="1" t="s">
        <v>28</v>
      </c>
      <c r="C225" s="1" t="s">
        <v>29</v>
      </c>
      <c r="D225" s="1" t="s">
        <v>164</v>
      </c>
      <c r="E225" s="1" t="s">
        <v>19</v>
      </c>
      <c r="F225" s="1" t="s">
        <v>19</v>
      </c>
      <c r="G225" s="1" t="s">
        <v>19</v>
      </c>
      <c r="H225" s="1" t="s">
        <v>19</v>
      </c>
    </row>
    <row r="226" spans="1:8" ht="88.5" x14ac:dyDescent="0.75">
      <c r="A226" s="1" t="s">
        <v>65</v>
      </c>
      <c r="B226" s="1" t="s">
        <v>32</v>
      </c>
      <c r="C226" s="1" t="s">
        <v>41</v>
      </c>
      <c r="D226" s="1" t="s">
        <v>19</v>
      </c>
      <c r="E226" s="1" t="s">
        <v>19</v>
      </c>
      <c r="F226" s="1" t="s">
        <v>19</v>
      </c>
      <c r="G226" s="1" t="s">
        <v>19</v>
      </c>
      <c r="H226" s="1" t="s">
        <v>19</v>
      </c>
    </row>
    <row r="227" spans="1:8" ht="44.25" x14ac:dyDescent="0.75">
      <c r="A227" s="1" t="s">
        <v>21</v>
      </c>
      <c r="B227" s="1" t="s">
        <v>22</v>
      </c>
      <c r="C227" s="1" t="s">
        <v>109</v>
      </c>
      <c r="D227" s="1" t="s">
        <v>19</v>
      </c>
      <c r="E227" s="1" t="s">
        <v>19</v>
      </c>
      <c r="F227" s="1" t="s">
        <v>19</v>
      </c>
      <c r="G227" s="1" t="s">
        <v>165</v>
      </c>
      <c r="H227" s="1" t="s">
        <v>19</v>
      </c>
    </row>
    <row r="228" spans="1:8" ht="59" x14ac:dyDescent="0.75">
      <c r="A228" s="1" t="s">
        <v>24</v>
      </c>
      <c r="B228" s="1" t="s">
        <v>37</v>
      </c>
      <c r="C228" s="1" t="s">
        <v>41</v>
      </c>
      <c r="D228" s="1" t="s">
        <v>19</v>
      </c>
      <c r="E228" s="1" t="s">
        <v>19</v>
      </c>
      <c r="F228" s="1" t="s">
        <v>19</v>
      </c>
      <c r="G228" s="1" t="s">
        <v>166</v>
      </c>
      <c r="H228" s="1" t="s">
        <v>19</v>
      </c>
    </row>
    <row r="229" spans="1:8" ht="88.5" x14ac:dyDescent="0.75">
      <c r="A229" s="1" t="s">
        <v>21</v>
      </c>
      <c r="B229" s="1" t="s">
        <v>28</v>
      </c>
      <c r="C229" s="1" t="s">
        <v>18</v>
      </c>
      <c r="D229" s="1" t="s">
        <v>19</v>
      </c>
      <c r="E229" s="1" t="s">
        <v>19</v>
      </c>
      <c r="F229" s="1" t="s">
        <v>19</v>
      </c>
      <c r="G229" s="1" t="s">
        <v>19</v>
      </c>
      <c r="H229" s="1" t="s">
        <v>19</v>
      </c>
    </row>
    <row r="230" spans="1:8" ht="59" x14ac:dyDescent="0.75">
      <c r="A230" s="1" t="s">
        <v>24</v>
      </c>
      <c r="B230" s="1" t="s">
        <v>25</v>
      </c>
      <c r="C230" s="1" t="s">
        <v>36</v>
      </c>
      <c r="D230" s="1" t="s">
        <v>19</v>
      </c>
      <c r="E230" s="1" t="s">
        <v>19</v>
      </c>
      <c r="F230" s="1" t="s">
        <v>19</v>
      </c>
      <c r="G230" s="1" t="s">
        <v>167</v>
      </c>
      <c r="H230" s="1" t="s">
        <v>19</v>
      </c>
    </row>
    <row r="231" spans="1:8" ht="88.5" x14ac:dyDescent="0.75">
      <c r="A231" s="1" t="s">
        <v>24</v>
      </c>
      <c r="B231" s="1" t="s">
        <v>28</v>
      </c>
      <c r="C231" s="1" t="s">
        <v>109</v>
      </c>
      <c r="D231" s="1" t="s">
        <v>19</v>
      </c>
      <c r="E231" s="1" t="s">
        <v>19</v>
      </c>
      <c r="F231" s="1" t="s">
        <v>19</v>
      </c>
      <c r="G231" s="1" t="s">
        <v>168</v>
      </c>
      <c r="H231" s="1" t="s">
        <v>19</v>
      </c>
    </row>
    <row r="232" spans="1:8" ht="59" x14ac:dyDescent="0.75">
      <c r="A232" s="1" t="s">
        <v>24</v>
      </c>
      <c r="B232" s="1" t="s">
        <v>25</v>
      </c>
      <c r="C232" s="1" t="s">
        <v>34</v>
      </c>
      <c r="D232" s="1" t="s">
        <v>169</v>
      </c>
      <c r="E232" s="1" t="s">
        <v>19</v>
      </c>
      <c r="F232" s="1" t="s">
        <v>19</v>
      </c>
      <c r="G232" s="1" t="s">
        <v>19</v>
      </c>
      <c r="H232" s="1" t="s">
        <v>19</v>
      </c>
    </row>
    <row r="233" spans="1:8" ht="59" x14ac:dyDescent="0.75">
      <c r="A233" s="1" t="s">
        <v>31</v>
      </c>
      <c r="B233" s="1" t="s">
        <v>22</v>
      </c>
      <c r="C233" s="1" t="s">
        <v>43</v>
      </c>
      <c r="D233" s="1" t="s">
        <v>170</v>
      </c>
      <c r="E233" s="1" t="s">
        <v>19</v>
      </c>
      <c r="F233" s="1" t="s">
        <v>19</v>
      </c>
      <c r="G233" s="1" t="s">
        <v>19</v>
      </c>
      <c r="H233" s="1" t="s">
        <v>19</v>
      </c>
    </row>
    <row r="234" spans="1:8" ht="59" x14ac:dyDescent="0.75">
      <c r="A234" s="1" t="s">
        <v>24</v>
      </c>
      <c r="B234" s="1" t="s">
        <v>25</v>
      </c>
      <c r="C234" s="1" t="s">
        <v>45</v>
      </c>
      <c r="D234" s="1" t="s">
        <v>19</v>
      </c>
      <c r="E234" s="1" t="s">
        <v>19</v>
      </c>
      <c r="F234" s="1" t="s">
        <v>19</v>
      </c>
      <c r="G234" s="1" t="s">
        <v>19</v>
      </c>
      <c r="H234" s="1" t="s">
        <v>19</v>
      </c>
    </row>
    <row r="235" spans="1:8" ht="59" x14ac:dyDescent="0.75">
      <c r="A235" s="1" t="s">
        <v>21</v>
      </c>
      <c r="B235" s="1" t="s">
        <v>25</v>
      </c>
      <c r="C235" s="1" t="s">
        <v>45</v>
      </c>
      <c r="D235" s="1" t="s">
        <v>19</v>
      </c>
      <c r="E235" s="1" t="s">
        <v>19</v>
      </c>
      <c r="F235" s="1" t="s">
        <v>19</v>
      </c>
      <c r="G235" s="1" t="s">
        <v>19</v>
      </c>
      <c r="H235" s="1" t="s">
        <v>19</v>
      </c>
    </row>
    <row r="236" spans="1:8" ht="44.25" x14ac:dyDescent="0.75">
      <c r="A236" s="1" t="s">
        <v>65</v>
      </c>
      <c r="B236" s="1" t="s">
        <v>37</v>
      </c>
      <c r="C236" s="1" t="s">
        <v>80</v>
      </c>
      <c r="D236" s="1" t="s">
        <v>19</v>
      </c>
      <c r="E236" s="1" t="s">
        <v>19</v>
      </c>
      <c r="F236" s="1" t="s">
        <v>19</v>
      </c>
      <c r="G236" s="1" t="s">
        <v>19</v>
      </c>
      <c r="H236" s="1" t="s">
        <v>19</v>
      </c>
    </row>
    <row r="237" spans="1:8" ht="59" x14ac:dyDescent="0.75">
      <c r="A237" s="1" t="s">
        <v>21</v>
      </c>
      <c r="B237" s="1" t="s">
        <v>25</v>
      </c>
      <c r="C237" s="1" t="s">
        <v>45</v>
      </c>
      <c r="D237" s="1" t="s">
        <v>19</v>
      </c>
      <c r="E237" s="1" t="s">
        <v>19</v>
      </c>
      <c r="F237" s="1" t="s">
        <v>19</v>
      </c>
      <c r="G237" s="1" t="s">
        <v>19</v>
      </c>
      <c r="H237" s="1" t="s">
        <v>19</v>
      </c>
    </row>
    <row r="238" spans="1:8" ht="88.5" x14ac:dyDescent="0.75">
      <c r="A238" s="1" t="s">
        <v>63</v>
      </c>
      <c r="B238" s="1" t="s">
        <v>28</v>
      </c>
      <c r="C238" s="1" t="s">
        <v>39</v>
      </c>
      <c r="D238" s="1" t="s">
        <v>19</v>
      </c>
      <c r="E238" s="1" t="s">
        <v>19</v>
      </c>
      <c r="F238" s="1" t="s">
        <v>19</v>
      </c>
      <c r="G238" s="1" t="s">
        <v>19</v>
      </c>
      <c r="H238" s="1" t="s">
        <v>19</v>
      </c>
    </row>
    <row r="239" spans="1:8" ht="59" x14ac:dyDescent="0.75">
      <c r="A239" s="1" t="s">
        <v>31</v>
      </c>
      <c r="B239" s="1" t="s">
        <v>25</v>
      </c>
      <c r="C239" s="1" t="s">
        <v>39</v>
      </c>
      <c r="D239" s="1" t="s">
        <v>19</v>
      </c>
      <c r="E239" s="1" t="s">
        <v>171</v>
      </c>
      <c r="F239" s="1" t="s">
        <v>19</v>
      </c>
      <c r="G239" s="1" t="s">
        <v>19</v>
      </c>
      <c r="H239" s="1" t="s">
        <v>19</v>
      </c>
    </row>
    <row r="240" spans="1:8" ht="59" x14ac:dyDescent="0.75">
      <c r="A240" s="1" t="s">
        <v>21</v>
      </c>
      <c r="B240" s="1" t="s">
        <v>37</v>
      </c>
      <c r="C240" s="1" t="s">
        <v>69</v>
      </c>
      <c r="D240" s="1" t="s">
        <v>19</v>
      </c>
      <c r="E240" s="1" t="s">
        <v>19</v>
      </c>
      <c r="F240" s="1" t="s">
        <v>19</v>
      </c>
      <c r="G240" s="1" t="s">
        <v>19</v>
      </c>
      <c r="H240" s="1" t="s">
        <v>172</v>
      </c>
    </row>
    <row r="241" spans="1:8" ht="88.5" x14ac:dyDescent="0.75">
      <c r="A241" s="1" t="s">
        <v>24</v>
      </c>
      <c r="B241" s="1" t="s">
        <v>28</v>
      </c>
      <c r="C241" s="1" t="s">
        <v>41</v>
      </c>
      <c r="D241" s="1" t="s">
        <v>173</v>
      </c>
      <c r="E241" s="1" t="s">
        <v>19</v>
      </c>
      <c r="F241" s="1" t="s">
        <v>19</v>
      </c>
      <c r="G241" s="1" t="s">
        <v>19</v>
      </c>
      <c r="H241" s="1" t="s">
        <v>19</v>
      </c>
    </row>
    <row r="242" spans="1:8" ht="88.5" x14ac:dyDescent="0.75">
      <c r="A242" s="1" t="s">
        <v>16</v>
      </c>
      <c r="B242" s="1" t="s">
        <v>32</v>
      </c>
      <c r="C242" s="1" t="s">
        <v>34</v>
      </c>
      <c r="D242" s="1" t="s">
        <v>19</v>
      </c>
      <c r="E242" s="1" t="s">
        <v>174</v>
      </c>
      <c r="F242" s="1" t="s">
        <v>19</v>
      </c>
      <c r="G242" s="1" t="s">
        <v>19</v>
      </c>
      <c r="H242" s="1" t="s">
        <v>19</v>
      </c>
    </row>
    <row r="243" spans="1:8" ht="59" x14ac:dyDescent="0.75">
      <c r="A243" s="1" t="s">
        <v>21</v>
      </c>
      <c r="B243" s="1" t="s">
        <v>25</v>
      </c>
      <c r="C243" s="1" t="s">
        <v>26</v>
      </c>
      <c r="D243" s="1" t="s">
        <v>19</v>
      </c>
      <c r="E243" s="1" t="s">
        <v>19</v>
      </c>
      <c r="F243" s="1" t="s">
        <v>175</v>
      </c>
      <c r="G243" s="1" t="s">
        <v>19</v>
      </c>
      <c r="H243" s="1" t="s">
        <v>19</v>
      </c>
    </row>
    <row r="244" spans="1:8" ht="59" x14ac:dyDescent="0.75">
      <c r="A244" s="1" t="s">
        <v>24</v>
      </c>
      <c r="B244" s="1" t="s">
        <v>25</v>
      </c>
      <c r="C244" s="1" t="s">
        <v>34</v>
      </c>
      <c r="D244" s="1" t="s">
        <v>19</v>
      </c>
      <c r="E244" s="1" t="s">
        <v>19</v>
      </c>
      <c r="F244" s="1" t="s">
        <v>176</v>
      </c>
      <c r="G244" s="1" t="s">
        <v>19</v>
      </c>
      <c r="H244" s="1" t="s">
        <v>19</v>
      </c>
    </row>
    <row r="245" spans="1:8" ht="29.5" x14ac:dyDescent="0.75">
      <c r="A245" s="1" t="s">
        <v>21</v>
      </c>
      <c r="B245" s="1" t="s">
        <v>22</v>
      </c>
      <c r="C245" s="1" t="s">
        <v>18</v>
      </c>
      <c r="D245" s="1" t="s">
        <v>19</v>
      </c>
      <c r="E245" s="1" t="s">
        <v>177</v>
      </c>
      <c r="F245" s="1" t="s">
        <v>19</v>
      </c>
      <c r="G245" s="1" t="s">
        <v>19</v>
      </c>
      <c r="H245" s="1" t="s">
        <v>19</v>
      </c>
    </row>
    <row r="246" spans="1:8" ht="29.5" x14ac:dyDescent="0.75">
      <c r="A246" s="1" t="s">
        <v>16</v>
      </c>
      <c r="B246" s="1" t="s">
        <v>22</v>
      </c>
      <c r="C246" s="1" t="s">
        <v>26</v>
      </c>
      <c r="D246" s="1" t="s">
        <v>19</v>
      </c>
      <c r="E246" s="1" t="s">
        <v>19</v>
      </c>
      <c r="F246" s="1" t="s">
        <v>19</v>
      </c>
      <c r="G246" s="1" t="s">
        <v>19</v>
      </c>
      <c r="H246" s="1" t="s">
        <v>19</v>
      </c>
    </row>
    <row r="247" spans="1:8" ht="88.5" x14ac:dyDescent="0.75">
      <c r="A247" s="1" t="s">
        <v>21</v>
      </c>
      <c r="B247" s="1" t="s">
        <v>28</v>
      </c>
      <c r="C247" s="1" t="s">
        <v>18</v>
      </c>
      <c r="D247" s="1" t="s">
        <v>19</v>
      </c>
      <c r="E247" s="1" t="s">
        <v>178</v>
      </c>
      <c r="F247" s="1" t="s">
        <v>19</v>
      </c>
      <c r="G247" s="1" t="s">
        <v>19</v>
      </c>
      <c r="H247" s="1" t="s">
        <v>19</v>
      </c>
    </row>
    <row r="248" spans="1:8" ht="59" x14ac:dyDescent="0.75">
      <c r="A248" s="1" t="s">
        <v>24</v>
      </c>
      <c r="B248" s="1" t="s">
        <v>25</v>
      </c>
      <c r="C248" s="1" t="s">
        <v>64</v>
      </c>
      <c r="D248" s="1" t="s">
        <v>19</v>
      </c>
      <c r="E248" s="1" t="s">
        <v>179</v>
      </c>
      <c r="F248" s="1" t="s">
        <v>19</v>
      </c>
      <c r="G248" s="1" t="s">
        <v>19</v>
      </c>
      <c r="H248" s="1" t="s">
        <v>19</v>
      </c>
    </row>
    <row r="249" spans="1:8" ht="88.5" x14ac:dyDescent="0.75">
      <c r="A249" s="1" t="s">
        <v>16</v>
      </c>
      <c r="B249" s="1" t="s">
        <v>32</v>
      </c>
      <c r="C249" s="1" t="s">
        <v>45</v>
      </c>
      <c r="D249" s="1" t="s">
        <v>19</v>
      </c>
      <c r="E249" s="1" t="s">
        <v>180</v>
      </c>
      <c r="F249" s="1" t="s">
        <v>19</v>
      </c>
      <c r="G249" s="1" t="s">
        <v>19</v>
      </c>
      <c r="H249" s="1" t="s">
        <v>19</v>
      </c>
    </row>
    <row r="250" spans="1:8" ht="103.25" x14ac:dyDescent="0.75">
      <c r="A250" s="1" t="s">
        <v>24</v>
      </c>
      <c r="B250" s="1" t="s">
        <v>17</v>
      </c>
      <c r="C250" s="1" t="s">
        <v>29</v>
      </c>
      <c r="D250" s="1" t="s">
        <v>19</v>
      </c>
      <c r="E250" s="1" t="s">
        <v>19</v>
      </c>
      <c r="F250" s="1" t="s">
        <v>19</v>
      </c>
      <c r="G250" s="1" t="s">
        <v>19</v>
      </c>
      <c r="H250" s="1" t="s">
        <v>19</v>
      </c>
    </row>
    <row r="251" spans="1:8" ht="59" x14ac:dyDescent="0.75">
      <c r="A251" s="1" t="s">
        <v>21</v>
      </c>
      <c r="B251" s="1" t="s">
        <v>25</v>
      </c>
      <c r="C251" s="1" t="s">
        <v>43</v>
      </c>
      <c r="D251" s="1" t="s">
        <v>19</v>
      </c>
      <c r="E251" s="1" t="s">
        <v>181</v>
      </c>
      <c r="F251" s="1" t="s">
        <v>19</v>
      </c>
      <c r="G251" s="1" t="s">
        <v>19</v>
      </c>
      <c r="H251" s="1" t="s">
        <v>19</v>
      </c>
    </row>
    <row r="252" spans="1:8" ht="88.5" x14ac:dyDescent="0.75">
      <c r="A252" s="1" t="s">
        <v>16</v>
      </c>
      <c r="B252" s="1" t="s">
        <v>28</v>
      </c>
      <c r="C252" s="1" t="s">
        <v>47</v>
      </c>
      <c r="D252" s="1" t="s">
        <v>182</v>
      </c>
      <c r="E252" s="1" t="s">
        <v>19</v>
      </c>
      <c r="F252" s="1" t="s">
        <v>19</v>
      </c>
      <c r="G252" s="1" t="s">
        <v>19</v>
      </c>
      <c r="H252" s="1" t="s">
        <v>19</v>
      </c>
    </row>
    <row r="253" spans="1:8" ht="59" x14ac:dyDescent="0.75">
      <c r="A253" s="1" t="s">
        <v>65</v>
      </c>
      <c r="B253" s="1" t="s">
        <v>25</v>
      </c>
      <c r="C253" s="1" t="s">
        <v>69</v>
      </c>
      <c r="D253" s="1" t="s">
        <v>19</v>
      </c>
      <c r="E253" s="1" t="s">
        <v>183</v>
      </c>
      <c r="F253" s="1" t="s">
        <v>19</v>
      </c>
      <c r="G253" s="1" t="s">
        <v>19</v>
      </c>
      <c r="H253" s="1" t="s">
        <v>19</v>
      </c>
    </row>
    <row r="254" spans="1:8" ht="88.5" x14ac:dyDescent="0.75">
      <c r="A254" s="1" t="s">
        <v>78</v>
      </c>
      <c r="B254" s="1" t="s">
        <v>28</v>
      </c>
      <c r="C254" s="1" t="s">
        <v>39</v>
      </c>
      <c r="D254" s="1" t="s">
        <v>19</v>
      </c>
      <c r="E254" s="1" t="s">
        <v>19</v>
      </c>
      <c r="F254" s="1" t="s">
        <v>19</v>
      </c>
      <c r="G254" s="1" t="s">
        <v>19</v>
      </c>
      <c r="H254" s="1" t="s">
        <v>19</v>
      </c>
    </row>
    <row r="255" spans="1:8" ht="29.5" x14ac:dyDescent="0.75">
      <c r="A255" s="1" t="s">
        <v>63</v>
      </c>
      <c r="B255" s="1" t="s">
        <v>22</v>
      </c>
      <c r="C255" s="1" t="s">
        <v>39</v>
      </c>
      <c r="D255" s="1" t="s">
        <v>19</v>
      </c>
      <c r="E255" s="1" t="s">
        <v>19</v>
      </c>
      <c r="F255" s="1" t="s">
        <v>19</v>
      </c>
      <c r="G255" s="1" t="s">
        <v>19</v>
      </c>
      <c r="H255" s="1" t="s">
        <v>19</v>
      </c>
    </row>
    <row r="256" spans="1:8" ht="59" x14ac:dyDescent="0.75">
      <c r="A256" s="1" t="s">
        <v>31</v>
      </c>
      <c r="B256" s="1" t="s">
        <v>22</v>
      </c>
      <c r="C256" s="1" t="s">
        <v>41</v>
      </c>
      <c r="D256" s="1" t="s">
        <v>19</v>
      </c>
      <c r="E256" s="1" t="s">
        <v>19</v>
      </c>
      <c r="F256" s="1" t="s">
        <v>19</v>
      </c>
      <c r="G256" s="1" t="s">
        <v>19</v>
      </c>
      <c r="H256" s="1" t="s">
        <v>19</v>
      </c>
    </row>
    <row r="257" spans="1:8" ht="103.25" x14ac:dyDescent="0.75">
      <c r="A257" s="1" t="s">
        <v>16</v>
      </c>
      <c r="B257" s="1" t="s">
        <v>25</v>
      </c>
      <c r="C257" s="1" t="s">
        <v>29</v>
      </c>
      <c r="D257" s="1" t="s">
        <v>19</v>
      </c>
      <c r="E257" s="1" t="s">
        <v>19</v>
      </c>
      <c r="F257" s="1" t="s">
        <v>19</v>
      </c>
      <c r="G257" s="1" t="s">
        <v>19</v>
      </c>
      <c r="H257" s="1" t="s">
        <v>19</v>
      </c>
    </row>
    <row r="258" spans="1:8" ht="59" x14ac:dyDescent="0.75">
      <c r="A258" s="1" t="s">
        <v>16</v>
      </c>
      <c r="B258" s="1" t="s">
        <v>25</v>
      </c>
      <c r="C258" s="1" t="s">
        <v>39</v>
      </c>
      <c r="D258" s="1" t="s">
        <v>19</v>
      </c>
      <c r="E258" s="1" t="s">
        <v>19</v>
      </c>
      <c r="F258" s="1" t="s">
        <v>19</v>
      </c>
      <c r="G258" s="1" t="s">
        <v>19</v>
      </c>
      <c r="H258" s="1" t="s">
        <v>19</v>
      </c>
    </row>
    <row r="259" spans="1:8" ht="59" x14ac:dyDescent="0.75">
      <c r="A259" s="1" t="s">
        <v>21</v>
      </c>
      <c r="B259" s="1" t="s">
        <v>25</v>
      </c>
      <c r="C259" s="1" t="s">
        <v>45</v>
      </c>
      <c r="E259" s="1" t="s">
        <v>196</v>
      </c>
    </row>
    <row r="260" spans="1:8" ht="59" x14ac:dyDescent="0.75">
      <c r="A260" s="1" t="s">
        <v>24</v>
      </c>
      <c r="B260" s="1" t="s">
        <v>25</v>
      </c>
      <c r="C260" s="1" t="s">
        <v>23</v>
      </c>
      <c r="E260" s="1" t="s">
        <v>197</v>
      </c>
    </row>
  </sheetData>
  <autoFilter ref="A2:H260" xr:uid="{00000000-0009-0000-0000-000000000000}"/>
  <pageMargins left="0.7" right="0.7" top="0.75" bottom="0.75" header="0.3" footer="0.3"/>
  <ignoredErrors>
    <ignoredError sqref="A1:A258 B1:B258 C1:C258 D1:D258 E1:E258 F1:F258 G1:G258 H1:H25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423D1-C2B0-448C-8304-A044800BDF58}">
  <dimension ref="A1:O34"/>
  <sheetViews>
    <sheetView workbookViewId="0">
      <selection activeCell="C2" sqref="C2"/>
    </sheetView>
  </sheetViews>
  <sheetFormatPr defaultRowHeight="14.75" x14ac:dyDescent="0.75"/>
  <cols>
    <col min="2" max="2" width="60" customWidth="1"/>
    <col min="7" max="7" width="56.58984375" customWidth="1"/>
  </cols>
  <sheetData>
    <row r="1" spans="1:15" x14ac:dyDescent="0.75">
      <c r="A1" s="14"/>
      <c r="B1" s="14" t="s">
        <v>3</v>
      </c>
      <c r="C1" s="14"/>
      <c r="D1" s="14"/>
      <c r="E1" s="14"/>
      <c r="F1" s="14"/>
      <c r="G1" s="15" t="s">
        <v>200</v>
      </c>
      <c r="H1" s="14" t="s">
        <v>201</v>
      </c>
    </row>
    <row r="2" spans="1:15" x14ac:dyDescent="0.75">
      <c r="A2" s="14" t="s">
        <v>237</v>
      </c>
      <c r="B2" s="14" t="s">
        <v>184</v>
      </c>
      <c r="C2" s="14" t="s">
        <v>239</v>
      </c>
      <c r="D2" s="14" t="s">
        <v>220</v>
      </c>
      <c r="E2" s="14" t="s">
        <v>219</v>
      </c>
      <c r="F2" s="14" t="s">
        <v>217</v>
      </c>
      <c r="G2" s="15"/>
      <c r="H2" s="14"/>
    </row>
    <row r="3" spans="1:15" ht="29.5" x14ac:dyDescent="0.75">
      <c r="B3" s="1" t="s">
        <v>35</v>
      </c>
      <c r="C3" s="3" t="b">
        <v>1</v>
      </c>
      <c r="D3" s="3" t="b">
        <v>0</v>
      </c>
      <c r="E3" s="3" t="b">
        <v>0</v>
      </c>
      <c r="F3" s="3" t="b">
        <v>0</v>
      </c>
      <c r="G3" s="8" t="s">
        <v>202</v>
      </c>
      <c r="H3">
        <v>3</v>
      </c>
      <c r="I3" s="17" t="s">
        <v>11</v>
      </c>
      <c r="J3" s="17"/>
      <c r="K3" s="17"/>
      <c r="L3" s="17"/>
      <c r="M3" s="17"/>
      <c r="N3" s="17"/>
      <c r="O3" s="17"/>
    </row>
    <row r="4" spans="1:15" ht="29.5" x14ac:dyDescent="0.75">
      <c r="B4" s="1" t="s">
        <v>40</v>
      </c>
      <c r="C4" s="3" t="b">
        <v>0</v>
      </c>
      <c r="D4" s="3" t="b">
        <v>0</v>
      </c>
      <c r="E4" s="3" t="b">
        <v>1</v>
      </c>
      <c r="F4" s="3" t="b">
        <v>0</v>
      </c>
      <c r="G4" s="8" t="s">
        <v>222</v>
      </c>
      <c r="H4">
        <v>2</v>
      </c>
      <c r="I4" s="17"/>
      <c r="J4" s="17"/>
      <c r="K4" s="17"/>
      <c r="L4" s="17"/>
      <c r="M4" s="17"/>
      <c r="N4" s="17"/>
      <c r="O4" s="17"/>
    </row>
    <row r="5" spans="1:15" ht="29.5" x14ac:dyDescent="0.75">
      <c r="B5" s="1" t="s">
        <v>50</v>
      </c>
      <c r="C5" s="3" t="b">
        <v>1</v>
      </c>
      <c r="D5" s="3" t="b">
        <v>0</v>
      </c>
      <c r="E5" s="3" t="b">
        <v>0</v>
      </c>
      <c r="F5" s="3" t="b">
        <v>0</v>
      </c>
      <c r="G5" s="8" t="s">
        <v>202</v>
      </c>
      <c r="H5">
        <v>2</v>
      </c>
      <c r="I5" s="17"/>
      <c r="J5" s="17"/>
      <c r="K5" s="17"/>
      <c r="L5" s="17"/>
      <c r="M5" s="17"/>
      <c r="N5" s="17"/>
      <c r="O5" s="17"/>
    </row>
    <row r="6" spans="1:15" x14ac:dyDescent="0.75">
      <c r="B6" s="1" t="s">
        <v>55</v>
      </c>
      <c r="C6" s="3" t="b">
        <v>1</v>
      </c>
      <c r="D6" s="3" t="b">
        <v>0</v>
      </c>
      <c r="E6" s="3" t="b">
        <v>0</v>
      </c>
      <c r="F6" s="3" t="b">
        <v>0</v>
      </c>
      <c r="G6" s="8" t="s">
        <v>202</v>
      </c>
      <c r="H6">
        <v>3</v>
      </c>
      <c r="I6" s="17"/>
      <c r="J6" s="17"/>
      <c r="K6" s="17"/>
      <c r="L6" s="17"/>
      <c r="M6" s="17"/>
      <c r="N6" s="17"/>
      <c r="O6" s="17"/>
    </row>
    <row r="7" spans="1:15" ht="29.5" x14ac:dyDescent="0.75">
      <c r="A7" t="s">
        <v>238</v>
      </c>
      <c r="B7" s="16" t="s">
        <v>56</v>
      </c>
      <c r="C7" s="3" t="b">
        <v>0</v>
      </c>
      <c r="D7" s="3" t="s">
        <v>228</v>
      </c>
      <c r="E7" s="3" t="b">
        <v>0</v>
      </c>
      <c r="F7" s="3" t="b">
        <v>0</v>
      </c>
      <c r="G7" s="8" t="s">
        <v>223</v>
      </c>
      <c r="H7">
        <v>2</v>
      </c>
      <c r="I7" s="17"/>
      <c r="J7" s="17"/>
      <c r="K7" s="17"/>
      <c r="L7" s="17"/>
      <c r="M7" s="17"/>
      <c r="N7" s="17"/>
      <c r="O7" s="17"/>
    </row>
    <row r="8" spans="1:15" x14ac:dyDescent="0.75">
      <c r="B8" s="1" t="s">
        <v>61</v>
      </c>
      <c r="C8" s="3" t="b">
        <v>0</v>
      </c>
      <c r="D8" s="3" t="b">
        <v>0</v>
      </c>
      <c r="E8" s="3" t="b">
        <v>1</v>
      </c>
      <c r="F8" s="3" t="b">
        <v>0</v>
      </c>
      <c r="G8" s="8" t="s">
        <v>203</v>
      </c>
      <c r="H8">
        <v>2</v>
      </c>
      <c r="I8" s="17"/>
      <c r="J8" s="17"/>
      <c r="K8" s="17"/>
      <c r="L8" s="17"/>
      <c r="M8" s="17"/>
      <c r="N8" s="17"/>
      <c r="O8" s="17"/>
    </row>
    <row r="9" spans="1:15" x14ac:dyDescent="0.75">
      <c r="B9" s="1" t="s">
        <v>82</v>
      </c>
      <c r="C9" s="3" t="b">
        <v>0</v>
      </c>
      <c r="D9" s="3" t="b">
        <v>0</v>
      </c>
      <c r="E9" s="3" t="b">
        <v>1</v>
      </c>
      <c r="F9" s="3" t="b">
        <v>0</v>
      </c>
      <c r="G9" s="8" t="s">
        <v>224</v>
      </c>
      <c r="H9">
        <v>3</v>
      </c>
      <c r="I9" s="17"/>
      <c r="J9" s="17"/>
      <c r="K9" s="17"/>
      <c r="L9" s="17"/>
      <c r="M9" s="17"/>
      <c r="N9" s="17"/>
      <c r="O9" s="17"/>
    </row>
    <row r="10" spans="1:15" x14ac:dyDescent="0.75">
      <c r="B10" s="1" t="s">
        <v>83</v>
      </c>
      <c r="C10" s="3" t="b">
        <v>1</v>
      </c>
      <c r="D10" s="3" t="b">
        <v>0</v>
      </c>
      <c r="E10" s="3" t="b">
        <v>0</v>
      </c>
      <c r="F10" s="3" t="b">
        <v>0</v>
      </c>
      <c r="G10" s="8" t="s">
        <v>227</v>
      </c>
      <c r="H10">
        <v>2</v>
      </c>
      <c r="I10" s="17"/>
      <c r="J10" s="17"/>
      <c r="K10" s="17"/>
      <c r="L10" s="17"/>
      <c r="M10" s="17"/>
      <c r="N10" s="17"/>
      <c r="O10" s="17"/>
    </row>
    <row r="11" spans="1:15" x14ac:dyDescent="0.75">
      <c r="B11" s="1" t="s">
        <v>87</v>
      </c>
      <c r="C11" s="3" t="b">
        <v>0</v>
      </c>
      <c r="D11" s="3" t="b">
        <v>0</v>
      </c>
      <c r="E11" s="3" t="b">
        <v>1</v>
      </c>
      <c r="F11" s="3" t="b">
        <v>0</v>
      </c>
      <c r="G11" s="8" t="s">
        <v>203</v>
      </c>
      <c r="H11">
        <v>3</v>
      </c>
      <c r="I11" s="17"/>
      <c r="J11" s="17"/>
      <c r="K11" s="17"/>
      <c r="L11" s="17"/>
      <c r="M11" s="17"/>
      <c r="N11" s="17"/>
      <c r="O11" s="17"/>
    </row>
    <row r="12" spans="1:15" x14ac:dyDescent="0.75">
      <c r="B12" s="1" t="s">
        <v>94</v>
      </c>
      <c r="C12" s="3" t="b">
        <v>0</v>
      </c>
      <c r="D12" s="3" t="b">
        <v>0</v>
      </c>
      <c r="E12" s="3" t="b">
        <v>1</v>
      </c>
      <c r="F12" s="3" t="b">
        <v>0</v>
      </c>
      <c r="G12" s="8" t="s">
        <v>203</v>
      </c>
      <c r="H12">
        <v>3</v>
      </c>
      <c r="I12" s="17"/>
      <c r="J12" s="17"/>
      <c r="K12" s="17"/>
      <c r="L12" s="17"/>
      <c r="M12" s="17"/>
      <c r="N12" s="17"/>
      <c r="O12" s="17"/>
    </row>
    <row r="13" spans="1:15" x14ac:dyDescent="0.75">
      <c r="B13" s="1" t="s">
        <v>99</v>
      </c>
      <c r="C13" s="3" t="b">
        <v>0</v>
      </c>
      <c r="D13" s="3" t="b">
        <v>1</v>
      </c>
      <c r="E13" s="3" t="b">
        <v>0</v>
      </c>
      <c r="F13" s="3" t="b">
        <v>0</v>
      </c>
      <c r="G13" s="8" t="s">
        <v>223</v>
      </c>
      <c r="H13">
        <v>2</v>
      </c>
      <c r="I13" s="17"/>
      <c r="J13" s="17"/>
      <c r="K13" s="17"/>
      <c r="L13" s="17"/>
      <c r="M13" s="17"/>
      <c r="N13" s="17"/>
      <c r="O13" s="17"/>
    </row>
    <row r="14" spans="1:15" ht="29.5" x14ac:dyDescent="0.75">
      <c r="B14" s="1" t="s">
        <v>100</v>
      </c>
      <c r="C14" s="3" t="b">
        <v>1</v>
      </c>
      <c r="D14" s="3" t="b">
        <v>0</v>
      </c>
      <c r="E14" s="3" t="b">
        <v>0</v>
      </c>
      <c r="F14" s="3" t="b">
        <v>0</v>
      </c>
      <c r="G14" s="8" t="s">
        <v>202</v>
      </c>
      <c r="H14">
        <v>2</v>
      </c>
      <c r="I14" s="17"/>
      <c r="J14" s="17"/>
      <c r="K14" s="17"/>
      <c r="L14" s="17"/>
      <c r="M14" s="17"/>
      <c r="N14" s="17"/>
      <c r="O14" s="17"/>
    </row>
    <row r="15" spans="1:15" x14ac:dyDescent="0.75">
      <c r="B15" s="1" t="s">
        <v>115</v>
      </c>
      <c r="C15" s="3" t="b">
        <v>0</v>
      </c>
      <c r="D15" s="3" t="b">
        <v>0</v>
      </c>
      <c r="E15" s="3" t="b">
        <v>1</v>
      </c>
      <c r="F15" s="3" t="b">
        <v>0</v>
      </c>
      <c r="G15" s="8" t="s">
        <v>225</v>
      </c>
      <c r="H15">
        <v>2</v>
      </c>
      <c r="I15" s="17"/>
      <c r="J15" s="17"/>
      <c r="K15" s="17"/>
      <c r="L15" s="17"/>
      <c r="M15" s="17"/>
      <c r="N15" s="17"/>
      <c r="O15" s="17"/>
    </row>
    <row r="16" spans="1:15" x14ac:dyDescent="0.75">
      <c r="B16" s="1" t="s">
        <v>119</v>
      </c>
      <c r="C16" s="3" t="b">
        <v>1</v>
      </c>
      <c r="D16" s="3" t="b">
        <v>0</v>
      </c>
      <c r="E16" s="3" t="b">
        <v>0</v>
      </c>
      <c r="F16" s="3" t="b">
        <v>0</v>
      </c>
      <c r="G16" s="8" t="s">
        <v>202</v>
      </c>
      <c r="H16">
        <v>3</v>
      </c>
      <c r="I16" s="17"/>
      <c r="J16" s="17"/>
      <c r="K16" s="17"/>
      <c r="L16" s="17"/>
      <c r="M16" s="17"/>
      <c r="N16" s="17"/>
      <c r="O16" s="17"/>
    </row>
    <row r="17" spans="1:15" ht="29.5" x14ac:dyDescent="0.75">
      <c r="B17" s="1" t="s">
        <v>134</v>
      </c>
      <c r="C17" s="3" t="b">
        <v>0</v>
      </c>
      <c r="D17" s="3" t="b">
        <v>0</v>
      </c>
      <c r="E17" s="3" t="b">
        <v>1</v>
      </c>
      <c r="F17" s="3" t="b">
        <v>0</v>
      </c>
      <c r="G17" s="8" t="s">
        <v>226</v>
      </c>
      <c r="H17">
        <v>2</v>
      </c>
      <c r="I17" s="17"/>
      <c r="J17" s="17"/>
      <c r="K17" s="17"/>
      <c r="L17" s="17"/>
      <c r="M17" s="17"/>
      <c r="N17" s="17"/>
      <c r="O17" s="17"/>
    </row>
    <row r="18" spans="1:15" ht="44.25" x14ac:dyDescent="0.75">
      <c r="B18" s="1" t="s">
        <v>142</v>
      </c>
      <c r="C18" s="3" t="b">
        <v>0</v>
      </c>
      <c r="D18" s="3" t="b">
        <v>1</v>
      </c>
      <c r="E18" s="3" t="b">
        <v>0</v>
      </c>
      <c r="F18" s="3" t="b">
        <v>0</v>
      </c>
      <c r="G18" s="8" t="s">
        <v>223</v>
      </c>
      <c r="H18">
        <v>2</v>
      </c>
      <c r="I18" s="17"/>
      <c r="J18" s="17"/>
      <c r="K18" s="17"/>
      <c r="L18" s="17"/>
      <c r="M18" s="17"/>
      <c r="N18" s="17"/>
      <c r="O18" s="17"/>
    </row>
    <row r="19" spans="1:15" ht="29.5" x14ac:dyDescent="0.75">
      <c r="B19" s="1" t="s">
        <v>145</v>
      </c>
      <c r="C19" s="3" t="b">
        <v>1</v>
      </c>
      <c r="D19" s="3" t="b">
        <v>0</v>
      </c>
      <c r="E19" s="3" t="b">
        <v>0</v>
      </c>
      <c r="F19" s="3" t="b">
        <v>0</v>
      </c>
      <c r="G19" s="9" t="s">
        <v>202</v>
      </c>
      <c r="H19">
        <v>3</v>
      </c>
      <c r="I19" s="17"/>
      <c r="J19" s="17"/>
      <c r="K19" s="17"/>
      <c r="L19" s="17"/>
      <c r="M19" s="17"/>
      <c r="N19" s="17"/>
      <c r="O19" s="17"/>
    </row>
    <row r="20" spans="1:15" ht="29.5" x14ac:dyDescent="0.75">
      <c r="B20" s="1" t="s">
        <v>147</v>
      </c>
      <c r="C20" s="3" t="b">
        <v>1</v>
      </c>
      <c r="D20" s="3" t="b">
        <v>0</v>
      </c>
      <c r="E20" s="3" t="b">
        <v>0</v>
      </c>
      <c r="F20" s="3" t="b">
        <v>0</v>
      </c>
      <c r="G20" s="8" t="s">
        <v>202</v>
      </c>
      <c r="H20">
        <v>3</v>
      </c>
      <c r="I20" s="17"/>
      <c r="J20" s="17"/>
      <c r="K20" s="17"/>
      <c r="L20" s="17"/>
      <c r="M20" s="17"/>
      <c r="N20" s="17"/>
      <c r="O20" s="17"/>
    </row>
    <row r="21" spans="1:15" ht="29.5" x14ac:dyDescent="0.75">
      <c r="B21" s="1" t="s">
        <v>148</v>
      </c>
      <c r="C21" s="3" t="b">
        <v>1</v>
      </c>
      <c r="D21" s="3" t="b">
        <v>0</v>
      </c>
      <c r="E21" s="3" t="b">
        <v>0</v>
      </c>
      <c r="F21" s="3" t="b">
        <v>0</v>
      </c>
      <c r="G21" s="8" t="s">
        <v>202</v>
      </c>
      <c r="H21">
        <v>3</v>
      </c>
      <c r="I21" s="17"/>
      <c r="J21" s="17"/>
      <c r="K21" s="17"/>
      <c r="L21" s="17"/>
      <c r="M21" s="17"/>
      <c r="N21" s="17"/>
      <c r="O21" s="17"/>
    </row>
    <row r="22" spans="1:15" x14ac:dyDescent="0.75">
      <c r="B22" s="1" t="s">
        <v>156</v>
      </c>
      <c r="C22" s="3" t="b">
        <v>0</v>
      </c>
      <c r="D22" s="3" t="b">
        <v>0</v>
      </c>
      <c r="E22" s="3" t="b">
        <v>1</v>
      </c>
      <c r="F22" s="3" t="b">
        <v>0</v>
      </c>
      <c r="G22" s="8" t="s">
        <v>203</v>
      </c>
      <c r="H22">
        <v>3</v>
      </c>
      <c r="I22" s="17"/>
      <c r="J22" s="17"/>
      <c r="K22" s="17"/>
      <c r="L22" s="17"/>
      <c r="M22" s="17"/>
      <c r="N22" s="17"/>
      <c r="O22" s="17"/>
    </row>
    <row r="23" spans="1:15" ht="29.5" x14ac:dyDescent="0.75">
      <c r="B23" s="1" t="s">
        <v>163</v>
      </c>
      <c r="C23" s="3" t="b">
        <v>1</v>
      </c>
      <c r="D23" s="3" t="b">
        <v>0</v>
      </c>
      <c r="E23" s="3" t="b">
        <v>0</v>
      </c>
      <c r="F23" s="3" t="b">
        <v>0</v>
      </c>
      <c r="G23" s="8" t="s">
        <v>202</v>
      </c>
      <c r="H23">
        <v>3</v>
      </c>
      <c r="I23" s="17"/>
      <c r="J23" s="17"/>
      <c r="K23" s="17"/>
      <c r="L23" s="17"/>
      <c r="M23" s="17"/>
      <c r="N23" s="17"/>
      <c r="O23" s="17"/>
    </row>
    <row r="24" spans="1:15" ht="29.5" x14ac:dyDescent="0.75">
      <c r="A24" t="s">
        <v>238</v>
      </c>
      <c r="B24" s="16" t="s">
        <v>164</v>
      </c>
      <c r="C24" s="3" t="b">
        <v>0</v>
      </c>
      <c r="D24" s="3" t="b">
        <v>0</v>
      </c>
      <c r="E24" s="3" t="s">
        <v>229</v>
      </c>
      <c r="F24" s="3" t="b">
        <v>0</v>
      </c>
      <c r="G24" s="8" t="s">
        <v>203</v>
      </c>
      <c r="H24">
        <v>3</v>
      </c>
      <c r="I24" s="17"/>
      <c r="J24" s="17"/>
      <c r="K24" s="17"/>
      <c r="L24" s="17"/>
      <c r="M24" s="17"/>
      <c r="N24" s="17"/>
      <c r="O24" s="17"/>
    </row>
    <row r="25" spans="1:15" x14ac:dyDescent="0.75">
      <c r="B25" s="1" t="s">
        <v>169</v>
      </c>
      <c r="C25" s="3" t="b">
        <v>1</v>
      </c>
      <c r="D25" s="3" t="b">
        <v>0</v>
      </c>
      <c r="E25" s="3" t="b">
        <v>0</v>
      </c>
      <c r="F25" s="3" t="b">
        <v>0</v>
      </c>
      <c r="G25" s="8" t="s">
        <v>202</v>
      </c>
      <c r="H25">
        <v>3</v>
      </c>
      <c r="I25" s="17"/>
      <c r="J25" s="17"/>
      <c r="K25" s="17"/>
      <c r="L25" s="17"/>
      <c r="M25" s="17"/>
      <c r="N25" s="17"/>
      <c r="O25" s="17"/>
    </row>
    <row r="26" spans="1:15" ht="44.25" x14ac:dyDescent="0.75">
      <c r="B26" s="1" t="s">
        <v>170</v>
      </c>
      <c r="C26" s="3" t="b">
        <v>0</v>
      </c>
      <c r="D26" s="3" t="b">
        <v>1</v>
      </c>
      <c r="E26" s="3" t="b">
        <v>0</v>
      </c>
      <c r="F26" s="3" t="b">
        <v>0</v>
      </c>
      <c r="G26" s="8" t="s">
        <v>223</v>
      </c>
      <c r="H26">
        <v>2</v>
      </c>
      <c r="I26" s="17"/>
      <c r="J26" s="17"/>
      <c r="K26" s="17"/>
      <c r="L26" s="17"/>
      <c r="M26" s="17"/>
      <c r="N26" s="17"/>
      <c r="O26" s="17"/>
    </row>
    <row r="27" spans="1:15" x14ac:dyDescent="0.75">
      <c r="B27" s="1" t="s">
        <v>173</v>
      </c>
      <c r="C27" s="3" t="b">
        <v>0</v>
      </c>
      <c r="D27" s="3" t="b">
        <v>0</v>
      </c>
      <c r="E27" s="3" t="b">
        <v>1</v>
      </c>
      <c r="F27" s="3" t="b">
        <v>0</v>
      </c>
      <c r="G27" s="8" t="s">
        <v>203</v>
      </c>
      <c r="H27">
        <v>3</v>
      </c>
    </row>
    <row r="28" spans="1:15" x14ac:dyDescent="0.75">
      <c r="B28" s="1" t="s">
        <v>182</v>
      </c>
      <c r="C28" s="3" t="b">
        <v>1</v>
      </c>
      <c r="D28" s="3" t="b">
        <v>0</v>
      </c>
      <c r="E28" s="3" t="b">
        <v>0</v>
      </c>
      <c r="F28" s="3" t="b">
        <v>0</v>
      </c>
      <c r="G28" s="8" t="s">
        <v>202</v>
      </c>
      <c r="H28">
        <v>3</v>
      </c>
      <c r="I28" s="5" t="s">
        <v>198</v>
      </c>
      <c r="J28" t="s">
        <v>199</v>
      </c>
    </row>
    <row r="29" spans="1:15" x14ac:dyDescent="0.75">
      <c r="G29" s="8"/>
      <c r="H29" s="18"/>
    </row>
    <row r="30" spans="1:15" x14ac:dyDescent="0.75">
      <c r="G30" s="8"/>
      <c r="H30" s="18"/>
      <c r="I30" s="5"/>
    </row>
    <row r="31" spans="1:15" x14ac:dyDescent="0.75">
      <c r="G31" s="8"/>
      <c r="H31" s="18"/>
    </row>
    <row r="32" spans="1:15" x14ac:dyDescent="0.75">
      <c r="G32" s="8"/>
    </row>
    <row r="33" spans="3:9" x14ac:dyDescent="0.75">
      <c r="G33" s="8"/>
      <c r="I33" s="6"/>
    </row>
    <row r="34" spans="3:9" x14ac:dyDescent="0.75">
      <c r="C34">
        <f>COUNTIF(C3:C32, TRUE)</f>
        <v>12</v>
      </c>
      <c r="D34">
        <f t="shared" ref="D34:F34" si="0">COUNTIF(D3:D32, TRUE)</f>
        <v>3</v>
      </c>
      <c r="E34">
        <f t="shared" si="0"/>
        <v>9</v>
      </c>
      <c r="F34">
        <f t="shared" si="0"/>
        <v>0</v>
      </c>
      <c r="G34" s="8">
        <f>SUM(C34:F34)</f>
        <v>24</v>
      </c>
      <c r="I34" s="7"/>
    </row>
  </sheetData>
  <mergeCells count="1">
    <mergeCell ref="I3:O26"/>
  </mergeCells>
  <conditionalFormatting sqref="H3:H28">
    <cfRule type="cellIs" dxfId="4" priority="1" operator="lessThan">
      <formula>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F5A27-2CAF-46A8-AEBE-C43000E62CD1}">
  <dimension ref="A1:P38"/>
  <sheetViews>
    <sheetView workbookViewId="0">
      <selection activeCell="C2" sqref="C2"/>
    </sheetView>
  </sheetViews>
  <sheetFormatPr defaultRowHeight="14.75" x14ac:dyDescent="0.75"/>
  <cols>
    <col min="2" max="2" width="60" customWidth="1"/>
    <col min="7" max="7" width="25.81640625" customWidth="1"/>
  </cols>
  <sheetData>
    <row r="1" spans="1:16" x14ac:dyDescent="0.75">
      <c r="A1" s="14"/>
      <c r="B1" s="14" t="s">
        <v>4</v>
      </c>
      <c r="C1" s="14"/>
      <c r="D1" s="14"/>
      <c r="E1" s="14"/>
      <c r="F1" s="14"/>
      <c r="G1" s="14" t="s">
        <v>204</v>
      </c>
      <c r="H1" s="14" t="s">
        <v>205</v>
      </c>
    </row>
    <row r="2" spans="1:16" x14ac:dyDescent="0.75">
      <c r="A2" s="14" t="s">
        <v>237</v>
      </c>
      <c r="B2" s="14" t="s">
        <v>185</v>
      </c>
      <c r="C2" s="14" t="s">
        <v>239</v>
      </c>
      <c r="D2" s="14" t="s">
        <v>220</v>
      </c>
      <c r="E2" s="14" t="s">
        <v>219</v>
      </c>
      <c r="F2" s="14" t="s">
        <v>217</v>
      </c>
      <c r="G2" s="15"/>
      <c r="H2" s="14"/>
    </row>
    <row r="3" spans="1:16" x14ac:dyDescent="0.75">
      <c r="B3" s="1" t="s">
        <v>20</v>
      </c>
      <c r="C3" s="3" t="b">
        <v>0</v>
      </c>
      <c r="D3" s="3" t="b">
        <v>0</v>
      </c>
      <c r="E3" s="3" t="b">
        <v>1</v>
      </c>
      <c r="F3" s="3" t="b">
        <v>0</v>
      </c>
      <c r="G3" s="8" t="s">
        <v>203</v>
      </c>
      <c r="H3">
        <v>3</v>
      </c>
      <c r="J3" s="17" t="s">
        <v>12</v>
      </c>
      <c r="K3" s="17"/>
      <c r="L3" s="17"/>
      <c r="M3" s="17"/>
      <c r="N3" s="17"/>
      <c r="O3" s="17"/>
      <c r="P3" s="17"/>
    </row>
    <row r="4" spans="1:16" ht="29.5" x14ac:dyDescent="0.75">
      <c r="B4" s="1" t="s">
        <v>54</v>
      </c>
      <c r="C4" s="3" t="b">
        <v>0</v>
      </c>
      <c r="D4" s="3" t="b">
        <v>0</v>
      </c>
      <c r="E4" s="3" t="b">
        <v>1</v>
      </c>
      <c r="F4" s="3" t="b">
        <v>0</v>
      </c>
      <c r="G4" s="8" t="s">
        <v>203</v>
      </c>
      <c r="H4">
        <v>3</v>
      </c>
      <c r="J4" s="17"/>
      <c r="K4" s="17"/>
      <c r="L4" s="17"/>
      <c r="M4" s="17"/>
      <c r="N4" s="17"/>
      <c r="O4" s="17"/>
      <c r="P4" s="17"/>
    </row>
    <row r="5" spans="1:16" x14ac:dyDescent="0.75">
      <c r="B5" s="1" t="s">
        <v>66</v>
      </c>
      <c r="C5" s="3" t="b">
        <v>0</v>
      </c>
      <c r="D5" s="3" t="b">
        <v>0</v>
      </c>
      <c r="E5" s="3" t="b">
        <v>0</v>
      </c>
      <c r="F5" s="3" t="b">
        <v>1</v>
      </c>
      <c r="G5" s="8" t="s">
        <v>208</v>
      </c>
      <c r="H5">
        <v>3</v>
      </c>
      <c r="J5" s="17"/>
      <c r="K5" s="17"/>
      <c r="L5" s="17"/>
      <c r="M5" s="17"/>
      <c r="N5" s="17"/>
      <c r="O5" s="17"/>
      <c r="P5" s="17"/>
    </row>
    <row r="6" spans="1:16" x14ac:dyDescent="0.75">
      <c r="A6" t="s">
        <v>238</v>
      </c>
      <c r="B6" s="4" t="s">
        <v>67</v>
      </c>
      <c r="C6" s="3" t="b">
        <v>0</v>
      </c>
      <c r="D6" s="3" t="b">
        <v>0</v>
      </c>
      <c r="E6" s="3" t="b">
        <v>0</v>
      </c>
      <c r="F6" s="3" t="b">
        <v>0</v>
      </c>
      <c r="G6" s="8"/>
      <c r="J6" s="17"/>
      <c r="K6" s="17"/>
      <c r="L6" s="17"/>
      <c r="M6" s="17"/>
      <c r="N6" s="17"/>
      <c r="O6" s="17"/>
      <c r="P6" s="17"/>
    </row>
    <row r="7" spans="1:16" x14ac:dyDescent="0.75">
      <c r="B7" s="1" t="s">
        <v>68</v>
      </c>
      <c r="C7" s="3" t="b">
        <v>1</v>
      </c>
      <c r="D7" s="3" t="b">
        <v>0</v>
      </c>
      <c r="E7" s="3" t="b">
        <v>0</v>
      </c>
      <c r="F7" s="3" t="b">
        <v>0</v>
      </c>
      <c r="G7" s="8" t="s">
        <v>202</v>
      </c>
      <c r="H7">
        <v>3</v>
      </c>
      <c r="J7" s="17"/>
      <c r="K7" s="17"/>
      <c r="L7" s="17"/>
      <c r="M7" s="17"/>
      <c r="N7" s="17"/>
      <c r="O7" s="17"/>
      <c r="P7" s="17"/>
    </row>
    <row r="8" spans="1:16" ht="44.25" x14ac:dyDescent="0.75">
      <c r="B8" s="1" t="s">
        <v>76</v>
      </c>
      <c r="C8" s="3" t="b">
        <v>0</v>
      </c>
      <c r="D8" s="3" t="b">
        <v>0</v>
      </c>
      <c r="E8" s="3" t="b">
        <v>0</v>
      </c>
      <c r="F8" s="3" t="b">
        <v>1</v>
      </c>
      <c r="G8" s="8" t="s">
        <v>208</v>
      </c>
      <c r="H8">
        <v>3</v>
      </c>
      <c r="J8" s="17"/>
      <c r="K8" s="17"/>
      <c r="L8" s="17"/>
      <c r="M8" s="17"/>
      <c r="N8" s="17"/>
      <c r="O8" s="17"/>
      <c r="P8" s="17"/>
    </row>
    <row r="9" spans="1:16" ht="29.5" x14ac:dyDescent="0.75">
      <c r="A9" t="s">
        <v>238</v>
      </c>
      <c r="B9" s="16" t="s">
        <v>95</v>
      </c>
      <c r="C9" s="3" t="b">
        <v>0</v>
      </c>
      <c r="D9" s="3" t="b">
        <v>0</v>
      </c>
      <c r="E9" s="3" t="b">
        <v>0</v>
      </c>
      <c r="F9" s="3" t="s">
        <v>231</v>
      </c>
      <c r="G9" s="8" t="s">
        <v>208</v>
      </c>
      <c r="H9">
        <v>3</v>
      </c>
      <c r="J9" s="17"/>
      <c r="K9" s="17"/>
      <c r="L9" s="17"/>
      <c r="M9" s="17"/>
      <c r="N9" s="17"/>
      <c r="O9" s="17"/>
      <c r="P9" s="17"/>
    </row>
    <row r="10" spans="1:16" ht="29.5" x14ac:dyDescent="0.75">
      <c r="A10" t="s">
        <v>238</v>
      </c>
      <c r="B10" s="4" t="s">
        <v>96</v>
      </c>
      <c r="C10" s="3" t="b">
        <v>0</v>
      </c>
      <c r="D10" s="3" t="b">
        <v>0</v>
      </c>
      <c r="E10" s="3" t="b">
        <v>0</v>
      </c>
      <c r="F10" s="3" t="b">
        <v>0</v>
      </c>
      <c r="G10" s="8"/>
      <c r="J10" s="17"/>
      <c r="K10" s="17"/>
      <c r="L10" s="17"/>
      <c r="M10" s="17"/>
      <c r="N10" s="17"/>
      <c r="O10" s="17"/>
      <c r="P10" s="17"/>
    </row>
    <row r="11" spans="1:16" x14ac:dyDescent="0.75">
      <c r="B11" s="1" t="s">
        <v>101</v>
      </c>
      <c r="C11" s="3" t="b">
        <v>0</v>
      </c>
      <c r="D11" s="3" t="b">
        <v>1</v>
      </c>
      <c r="E11" s="3" t="b">
        <v>0</v>
      </c>
      <c r="F11" s="3" t="b">
        <v>0</v>
      </c>
      <c r="G11" s="8" t="s">
        <v>209</v>
      </c>
      <c r="H11">
        <v>2</v>
      </c>
      <c r="J11" s="17"/>
      <c r="K11" s="17"/>
      <c r="L11" s="17"/>
      <c r="M11" s="17"/>
      <c r="N11" s="17"/>
      <c r="O11" s="17"/>
      <c r="P11" s="17"/>
    </row>
    <row r="12" spans="1:16" x14ac:dyDescent="0.75">
      <c r="B12" s="1" t="s">
        <v>106</v>
      </c>
      <c r="C12" s="3" t="b">
        <v>0</v>
      </c>
      <c r="D12" s="3" t="b">
        <v>0</v>
      </c>
      <c r="E12" s="3" t="b">
        <v>1</v>
      </c>
      <c r="F12" s="3" t="b">
        <v>0</v>
      </c>
      <c r="G12" s="8" t="s">
        <v>203</v>
      </c>
      <c r="H12">
        <v>3</v>
      </c>
      <c r="J12" s="17"/>
      <c r="K12" s="17"/>
      <c r="L12" s="17"/>
      <c r="M12" s="17"/>
      <c r="N12" s="17"/>
      <c r="O12" s="17"/>
      <c r="P12" s="17"/>
    </row>
    <row r="13" spans="1:16" ht="29.5" x14ac:dyDescent="0.75">
      <c r="B13" s="1" t="s">
        <v>114</v>
      </c>
      <c r="C13" s="3" t="b">
        <v>0</v>
      </c>
      <c r="D13" s="3" t="b">
        <v>0</v>
      </c>
      <c r="E13" s="3" t="b">
        <v>0</v>
      </c>
      <c r="F13" s="3" t="b">
        <v>1</v>
      </c>
      <c r="G13" s="8" t="s">
        <v>208</v>
      </c>
      <c r="H13">
        <v>3</v>
      </c>
      <c r="J13" s="17"/>
      <c r="K13" s="17"/>
      <c r="L13" s="17"/>
      <c r="M13" s="17"/>
      <c r="N13" s="17"/>
      <c r="O13" s="17"/>
      <c r="P13" s="17"/>
    </row>
    <row r="14" spans="1:16" x14ac:dyDescent="0.75">
      <c r="B14" s="1" t="s">
        <v>117</v>
      </c>
      <c r="C14" s="3" t="b">
        <v>0</v>
      </c>
      <c r="D14" s="3" t="b">
        <v>0</v>
      </c>
      <c r="E14" s="3" t="b">
        <v>0</v>
      </c>
      <c r="F14" s="3" t="b">
        <v>1</v>
      </c>
      <c r="G14" s="8" t="s">
        <v>208</v>
      </c>
      <c r="H14">
        <v>3</v>
      </c>
      <c r="J14" s="17"/>
      <c r="K14" s="17"/>
      <c r="L14" s="17"/>
      <c r="M14" s="17"/>
      <c r="N14" s="17"/>
      <c r="O14" s="17"/>
      <c r="P14" s="17"/>
    </row>
    <row r="15" spans="1:16" x14ac:dyDescent="0.75">
      <c r="B15" s="1" t="s">
        <v>122</v>
      </c>
      <c r="C15" s="3" t="b">
        <v>0</v>
      </c>
      <c r="D15" s="3" t="b">
        <v>0</v>
      </c>
      <c r="E15" s="3" t="b">
        <v>0</v>
      </c>
      <c r="F15" s="3" t="b">
        <v>1</v>
      </c>
      <c r="G15" s="8" t="s">
        <v>208</v>
      </c>
      <c r="H15">
        <v>3</v>
      </c>
      <c r="J15" s="17"/>
      <c r="K15" s="17"/>
      <c r="L15" s="17"/>
      <c r="M15" s="17"/>
      <c r="N15" s="17"/>
      <c r="O15" s="17"/>
      <c r="P15" s="17"/>
    </row>
    <row r="16" spans="1:16" ht="29.5" x14ac:dyDescent="0.75">
      <c r="B16" s="1" t="s">
        <v>126</v>
      </c>
      <c r="C16" s="3" t="b">
        <v>0</v>
      </c>
      <c r="D16" s="3" t="b">
        <v>0</v>
      </c>
      <c r="E16" s="3" t="b">
        <v>1</v>
      </c>
      <c r="F16" s="3" t="b">
        <v>0</v>
      </c>
      <c r="G16" s="8" t="s">
        <v>203</v>
      </c>
      <c r="H16">
        <v>3</v>
      </c>
      <c r="J16" s="17"/>
      <c r="K16" s="17"/>
      <c r="L16" s="17"/>
      <c r="M16" s="17"/>
      <c r="N16" s="17"/>
      <c r="O16" s="17"/>
      <c r="P16" s="17"/>
    </row>
    <row r="17" spans="1:16" ht="29.5" x14ac:dyDescent="0.75">
      <c r="B17" s="1" t="s">
        <v>130</v>
      </c>
      <c r="C17" s="3" t="b">
        <v>0</v>
      </c>
      <c r="D17" s="3" t="b">
        <v>1</v>
      </c>
      <c r="E17" s="3" t="b">
        <v>0</v>
      </c>
      <c r="F17" s="3" t="b">
        <v>0</v>
      </c>
      <c r="G17" s="8" t="s">
        <v>209</v>
      </c>
      <c r="H17">
        <v>2</v>
      </c>
      <c r="J17" s="17"/>
      <c r="K17" s="17"/>
      <c r="L17" s="17"/>
      <c r="M17" s="17"/>
      <c r="N17" s="17"/>
      <c r="O17" s="17"/>
      <c r="P17" s="17"/>
    </row>
    <row r="18" spans="1:16" x14ac:dyDescent="0.75">
      <c r="B18" s="1" t="s">
        <v>132</v>
      </c>
      <c r="C18" s="3" t="b">
        <v>0</v>
      </c>
      <c r="D18" s="3" t="b">
        <v>0</v>
      </c>
      <c r="E18" s="3" t="b">
        <v>1</v>
      </c>
      <c r="F18" s="3" t="b">
        <v>0</v>
      </c>
      <c r="G18" s="8" t="s">
        <v>203</v>
      </c>
      <c r="H18">
        <v>3</v>
      </c>
      <c r="J18" s="17"/>
      <c r="K18" s="17"/>
      <c r="L18" s="17"/>
      <c r="M18" s="17"/>
      <c r="N18" s="17"/>
      <c r="O18" s="17"/>
      <c r="P18" s="17"/>
    </row>
    <row r="19" spans="1:16" x14ac:dyDescent="0.75">
      <c r="B19" s="1" t="s">
        <v>136</v>
      </c>
      <c r="C19" s="3" t="b">
        <v>0</v>
      </c>
      <c r="D19" s="3" t="b">
        <v>0</v>
      </c>
      <c r="E19" s="3" t="b">
        <v>1</v>
      </c>
      <c r="F19" s="3" t="b">
        <v>0</v>
      </c>
      <c r="G19" s="9" t="s">
        <v>203</v>
      </c>
      <c r="H19">
        <v>3</v>
      </c>
      <c r="J19" s="17"/>
      <c r="K19" s="17"/>
      <c r="L19" s="17"/>
      <c r="M19" s="17"/>
      <c r="N19" s="17"/>
      <c r="O19" s="17"/>
      <c r="P19" s="17"/>
    </row>
    <row r="20" spans="1:16" x14ac:dyDescent="0.75">
      <c r="A20" t="s">
        <v>238</v>
      </c>
      <c r="B20" s="4" t="s">
        <v>137</v>
      </c>
      <c r="C20" s="3" t="b">
        <v>0</v>
      </c>
      <c r="D20" s="3" t="b">
        <v>0</v>
      </c>
      <c r="E20" s="3" t="b">
        <v>0</v>
      </c>
      <c r="F20" s="3" t="b">
        <v>0</v>
      </c>
      <c r="G20" s="8"/>
      <c r="J20" s="17"/>
      <c r="K20" s="17"/>
      <c r="L20" s="17"/>
      <c r="M20" s="17"/>
      <c r="N20" s="17"/>
      <c r="O20" s="17"/>
      <c r="P20" s="17"/>
    </row>
    <row r="21" spans="1:16" ht="59" x14ac:dyDescent="0.75">
      <c r="B21" s="1" t="s">
        <v>144</v>
      </c>
      <c r="C21" s="3" t="b">
        <v>0</v>
      </c>
      <c r="D21" s="3" t="b">
        <v>0</v>
      </c>
      <c r="E21" s="3" t="b">
        <v>1</v>
      </c>
      <c r="F21" s="3" t="b">
        <v>0</v>
      </c>
      <c r="G21" s="8" t="s">
        <v>203</v>
      </c>
      <c r="H21">
        <v>3</v>
      </c>
      <c r="J21" s="17"/>
      <c r="K21" s="17"/>
      <c r="L21" s="17"/>
      <c r="M21" s="17"/>
      <c r="N21" s="17"/>
      <c r="O21" s="17"/>
      <c r="P21" s="17"/>
    </row>
    <row r="22" spans="1:16" ht="44.25" x14ac:dyDescent="0.75">
      <c r="B22" s="1" t="s">
        <v>171</v>
      </c>
      <c r="C22" s="3" t="b">
        <v>0</v>
      </c>
      <c r="D22" s="3" t="b">
        <v>0</v>
      </c>
      <c r="E22" s="3" t="b">
        <v>1</v>
      </c>
      <c r="F22" s="3" t="b">
        <v>0</v>
      </c>
      <c r="G22" s="8" t="s">
        <v>203</v>
      </c>
      <c r="H22">
        <v>3</v>
      </c>
      <c r="J22" s="17"/>
      <c r="K22" s="17"/>
      <c r="L22" s="17"/>
      <c r="M22" s="17"/>
      <c r="N22" s="17"/>
      <c r="O22" s="17"/>
      <c r="P22" s="17"/>
    </row>
    <row r="23" spans="1:16" x14ac:dyDescent="0.75">
      <c r="B23" s="1" t="s">
        <v>174</v>
      </c>
      <c r="C23" s="3" t="b">
        <v>0</v>
      </c>
      <c r="D23" s="3" t="b">
        <v>0</v>
      </c>
      <c r="E23" s="3" t="b">
        <v>0</v>
      </c>
      <c r="F23" s="3" t="b">
        <v>1</v>
      </c>
      <c r="G23" s="8" t="s">
        <v>208</v>
      </c>
      <c r="H23">
        <v>3</v>
      </c>
      <c r="J23" s="17"/>
      <c r="K23" s="17"/>
      <c r="L23" s="17"/>
      <c r="M23" s="17"/>
      <c r="N23" s="17"/>
      <c r="O23" s="17"/>
      <c r="P23" s="17"/>
    </row>
    <row r="24" spans="1:16" x14ac:dyDescent="0.75">
      <c r="A24" t="s">
        <v>238</v>
      </c>
      <c r="B24" s="4" t="s">
        <v>177</v>
      </c>
      <c r="C24" s="3" t="b">
        <v>0</v>
      </c>
      <c r="D24" s="3" t="b">
        <v>0</v>
      </c>
      <c r="E24" s="3" t="b">
        <v>0</v>
      </c>
      <c r="F24" s="3" t="b">
        <v>0</v>
      </c>
      <c r="G24" s="8"/>
      <c r="J24" s="17"/>
      <c r="K24" s="17"/>
      <c r="L24" s="17"/>
      <c r="M24" s="17"/>
      <c r="N24" s="17"/>
      <c r="O24" s="17"/>
      <c r="P24" s="17"/>
    </row>
    <row r="25" spans="1:16" ht="29.5" x14ac:dyDescent="0.75">
      <c r="B25" s="1" t="s">
        <v>178</v>
      </c>
      <c r="C25" s="3" t="b">
        <v>0</v>
      </c>
      <c r="D25" s="3" t="b">
        <v>0</v>
      </c>
      <c r="E25" s="3" t="b">
        <v>0</v>
      </c>
      <c r="F25" s="3" t="b">
        <v>1</v>
      </c>
      <c r="G25" s="8" t="s">
        <v>208</v>
      </c>
      <c r="H25">
        <v>3</v>
      </c>
      <c r="J25" s="17"/>
      <c r="K25" s="17"/>
      <c r="L25" s="17"/>
      <c r="M25" s="17"/>
      <c r="N25" s="17"/>
      <c r="O25" s="17"/>
      <c r="P25" s="17"/>
    </row>
    <row r="26" spans="1:16" ht="29.5" x14ac:dyDescent="0.75">
      <c r="B26" s="1" t="s">
        <v>179</v>
      </c>
      <c r="C26" s="3" t="b">
        <v>1</v>
      </c>
      <c r="D26" s="3" t="b">
        <v>0</v>
      </c>
      <c r="E26" s="3" t="b">
        <v>0</v>
      </c>
      <c r="F26" s="3" t="b">
        <v>0</v>
      </c>
      <c r="G26" s="8" t="s">
        <v>202</v>
      </c>
      <c r="H26">
        <v>3</v>
      </c>
      <c r="J26" s="17"/>
      <c r="K26" s="17"/>
      <c r="L26" s="17"/>
      <c r="M26" s="17"/>
      <c r="N26" s="17"/>
      <c r="O26" s="17"/>
      <c r="P26" s="17"/>
    </row>
    <row r="27" spans="1:16" ht="29.5" x14ac:dyDescent="0.75">
      <c r="B27" s="1" t="s">
        <v>180</v>
      </c>
      <c r="C27" s="3" t="b">
        <v>1</v>
      </c>
      <c r="D27" s="3" t="b">
        <v>0</v>
      </c>
      <c r="E27" s="3" t="b">
        <v>0</v>
      </c>
      <c r="F27" s="3" t="b">
        <v>0</v>
      </c>
      <c r="G27" s="8" t="s">
        <v>202</v>
      </c>
      <c r="H27">
        <v>3</v>
      </c>
      <c r="J27" t="s">
        <v>206</v>
      </c>
      <c r="K27" t="s">
        <v>207</v>
      </c>
    </row>
    <row r="28" spans="1:16" ht="29.5" x14ac:dyDescent="0.75">
      <c r="B28" s="1" t="s">
        <v>181</v>
      </c>
      <c r="C28" s="3" t="b">
        <v>0</v>
      </c>
      <c r="D28" s="3" t="b">
        <v>0</v>
      </c>
      <c r="E28" s="3" t="b">
        <v>0</v>
      </c>
      <c r="F28" s="3" t="b">
        <v>1</v>
      </c>
      <c r="G28" s="8" t="s">
        <v>230</v>
      </c>
      <c r="H28">
        <v>3</v>
      </c>
      <c r="K28" s="5"/>
    </row>
    <row r="29" spans="1:16" x14ac:dyDescent="0.75">
      <c r="B29" s="1" t="s">
        <v>183</v>
      </c>
      <c r="C29" s="3" t="b">
        <v>0</v>
      </c>
      <c r="D29" s="3" t="b">
        <v>0</v>
      </c>
      <c r="E29" s="3" t="b">
        <v>1</v>
      </c>
      <c r="F29" s="3" t="b">
        <v>0</v>
      </c>
      <c r="G29" s="8" t="s">
        <v>203</v>
      </c>
      <c r="H29">
        <v>3</v>
      </c>
    </row>
    <row r="30" spans="1:16" x14ac:dyDescent="0.75">
      <c r="B30" s="1" t="s">
        <v>196</v>
      </c>
      <c r="C30" s="3" t="b">
        <v>0</v>
      </c>
      <c r="D30" s="3" t="b">
        <v>0</v>
      </c>
      <c r="E30" s="3" t="b">
        <v>1</v>
      </c>
      <c r="F30" s="3" t="b">
        <v>0</v>
      </c>
      <c r="G30" s="8" t="s">
        <v>203</v>
      </c>
      <c r="H30">
        <v>3</v>
      </c>
      <c r="K30" s="10"/>
    </row>
    <row r="31" spans="1:16" x14ac:dyDescent="0.75">
      <c r="B31" s="1" t="s">
        <v>197</v>
      </c>
      <c r="C31" s="3" t="b">
        <v>0</v>
      </c>
      <c r="D31" s="3" t="b">
        <v>1</v>
      </c>
      <c r="E31" s="3" t="b">
        <v>0</v>
      </c>
      <c r="F31" s="3" t="b">
        <v>0</v>
      </c>
      <c r="G31" s="8" t="s">
        <v>209</v>
      </c>
      <c r="H31">
        <v>2</v>
      </c>
      <c r="K31" s="10"/>
    </row>
    <row r="32" spans="1:16" x14ac:dyDescent="0.75">
      <c r="G32" s="8"/>
      <c r="K32" s="10"/>
    </row>
    <row r="33" spans="3:11" x14ac:dyDescent="0.75">
      <c r="G33" s="8"/>
      <c r="K33" s="11"/>
    </row>
    <row r="34" spans="3:11" x14ac:dyDescent="0.75">
      <c r="C34">
        <f>COUNTIF(C3:C32, TRUE)</f>
        <v>3</v>
      </c>
      <c r="D34">
        <f t="shared" ref="D34:F34" si="0">COUNTIF(D3:D32, TRUE)</f>
        <v>3</v>
      </c>
      <c r="E34">
        <f t="shared" si="0"/>
        <v>10</v>
      </c>
      <c r="F34">
        <f t="shared" si="0"/>
        <v>8</v>
      </c>
      <c r="G34" s="8">
        <f>SUM(C34:F34)</f>
        <v>24</v>
      </c>
      <c r="K34" s="11"/>
    </row>
    <row r="35" spans="3:11" x14ac:dyDescent="0.75">
      <c r="K35" s="11"/>
    </row>
    <row r="36" spans="3:11" x14ac:dyDescent="0.75">
      <c r="K36" s="11"/>
    </row>
    <row r="37" spans="3:11" x14ac:dyDescent="0.75">
      <c r="K37" s="10"/>
    </row>
    <row r="38" spans="3:11" x14ac:dyDescent="0.75">
      <c r="K38" s="12"/>
    </row>
  </sheetData>
  <mergeCells count="1">
    <mergeCell ref="J3:P26"/>
  </mergeCells>
  <phoneticPr fontId="3" type="noConversion"/>
  <conditionalFormatting sqref="H3:H31">
    <cfRule type="cellIs" dxfId="3" priority="1" operator="lessThan">
      <formula>2</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90727-755D-4143-8AE7-ABFB383E22A3}">
  <dimension ref="A1:P34"/>
  <sheetViews>
    <sheetView workbookViewId="0">
      <selection activeCell="C14" sqref="C14"/>
    </sheetView>
  </sheetViews>
  <sheetFormatPr defaultRowHeight="14.75" x14ac:dyDescent="0.75"/>
  <cols>
    <col min="2" max="2" width="62.58984375" customWidth="1"/>
    <col min="7" max="7" width="29.953125" customWidth="1"/>
  </cols>
  <sheetData>
    <row r="1" spans="1:16" x14ac:dyDescent="0.75">
      <c r="A1" s="14"/>
      <c r="B1" s="14" t="s">
        <v>5</v>
      </c>
      <c r="C1" s="14"/>
      <c r="D1" s="14"/>
      <c r="E1" s="14"/>
      <c r="F1" s="14"/>
      <c r="G1" s="14" t="s">
        <v>204</v>
      </c>
      <c r="H1" s="14" t="s">
        <v>205</v>
      </c>
    </row>
    <row r="2" spans="1:16" x14ac:dyDescent="0.75">
      <c r="A2" s="14" t="s">
        <v>237</v>
      </c>
      <c r="B2" s="14" t="s">
        <v>186</v>
      </c>
      <c r="C2" s="14" t="s">
        <v>239</v>
      </c>
      <c r="D2" s="14" t="s">
        <v>220</v>
      </c>
      <c r="E2" s="14" t="s">
        <v>219</v>
      </c>
      <c r="F2" s="14" t="s">
        <v>217</v>
      </c>
      <c r="G2" s="15"/>
      <c r="H2" s="14"/>
    </row>
    <row r="3" spans="1:16" x14ac:dyDescent="0.75">
      <c r="B3" s="1" t="s">
        <v>27</v>
      </c>
      <c r="C3" s="3" t="b">
        <v>0</v>
      </c>
      <c r="D3" s="3" t="b">
        <v>0</v>
      </c>
      <c r="E3" s="3" t="b">
        <v>1</v>
      </c>
      <c r="F3" s="3" t="b">
        <v>0</v>
      </c>
      <c r="G3" s="8" t="s">
        <v>203</v>
      </c>
      <c r="H3">
        <v>3</v>
      </c>
      <c r="J3" s="17" t="s">
        <v>13</v>
      </c>
      <c r="K3" s="17"/>
      <c r="L3" s="17"/>
      <c r="M3" s="17"/>
      <c r="N3" s="17"/>
      <c r="O3" s="17"/>
      <c r="P3" s="17"/>
    </row>
    <row r="4" spans="1:16" ht="29.5" x14ac:dyDescent="0.75">
      <c r="B4" s="1" t="s">
        <v>49</v>
      </c>
      <c r="C4" s="3" t="b">
        <v>1</v>
      </c>
      <c r="D4" s="3" t="b">
        <v>0</v>
      </c>
      <c r="E4" s="3" t="b">
        <v>0</v>
      </c>
      <c r="F4" s="3" t="b">
        <v>0</v>
      </c>
      <c r="G4" s="8" t="s">
        <v>202</v>
      </c>
      <c r="H4">
        <v>3</v>
      </c>
      <c r="J4" s="17"/>
      <c r="K4" s="17"/>
      <c r="L4" s="17"/>
      <c r="M4" s="17"/>
      <c r="N4" s="17"/>
      <c r="O4" s="17"/>
      <c r="P4" s="17"/>
    </row>
    <row r="5" spans="1:16" x14ac:dyDescent="0.75">
      <c r="B5" s="1" t="s">
        <v>51</v>
      </c>
      <c r="C5" s="3" t="b">
        <v>0</v>
      </c>
      <c r="D5" s="3" t="b">
        <v>0</v>
      </c>
      <c r="E5" s="3" t="b">
        <v>0</v>
      </c>
      <c r="F5" s="3" t="b">
        <v>1</v>
      </c>
      <c r="G5" s="8" t="s">
        <v>208</v>
      </c>
      <c r="H5">
        <v>3</v>
      </c>
      <c r="J5" s="17"/>
      <c r="K5" s="17"/>
      <c r="L5" s="17"/>
      <c r="M5" s="17"/>
      <c r="N5" s="17"/>
      <c r="O5" s="17"/>
      <c r="P5" s="17"/>
    </row>
    <row r="6" spans="1:16" x14ac:dyDescent="0.75">
      <c r="B6" s="1" t="s">
        <v>52</v>
      </c>
      <c r="C6" s="3" t="b">
        <v>0</v>
      </c>
      <c r="D6" s="3" t="b">
        <v>0</v>
      </c>
      <c r="E6" s="3" t="b">
        <v>0</v>
      </c>
      <c r="F6" s="3" t="b">
        <v>1</v>
      </c>
      <c r="G6" s="8" t="s">
        <v>208</v>
      </c>
      <c r="H6">
        <v>3</v>
      </c>
      <c r="J6" s="17"/>
      <c r="K6" s="17"/>
      <c r="L6" s="17"/>
      <c r="M6" s="17"/>
      <c r="N6" s="17"/>
      <c r="O6" s="17"/>
      <c r="P6" s="17"/>
    </row>
    <row r="7" spans="1:16" ht="29.5" x14ac:dyDescent="0.75">
      <c r="B7" s="1" t="s">
        <v>59</v>
      </c>
      <c r="C7" s="3" t="b">
        <v>0</v>
      </c>
      <c r="D7" s="3" t="b">
        <v>0</v>
      </c>
      <c r="E7" s="3" t="b">
        <v>0</v>
      </c>
      <c r="F7" s="3" t="b">
        <v>1</v>
      </c>
      <c r="G7" s="8" t="s">
        <v>208</v>
      </c>
      <c r="H7">
        <v>3</v>
      </c>
      <c r="J7" s="17"/>
      <c r="K7" s="17"/>
      <c r="L7" s="17"/>
      <c r="M7" s="17"/>
      <c r="N7" s="17"/>
      <c r="O7" s="17"/>
      <c r="P7" s="17"/>
    </row>
    <row r="8" spans="1:16" ht="44.25" x14ac:dyDescent="0.75">
      <c r="B8" s="1" t="s">
        <v>70</v>
      </c>
      <c r="C8" s="3" t="b">
        <v>0</v>
      </c>
      <c r="D8" s="3" t="b">
        <v>0</v>
      </c>
      <c r="E8" s="3" t="b">
        <v>0</v>
      </c>
      <c r="F8" s="3" t="b">
        <v>1</v>
      </c>
      <c r="G8" s="8" t="s">
        <v>208</v>
      </c>
      <c r="H8">
        <v>3</v>
      </c>
      <c r="J8" s="17"/>
      <c r="K8" s="17"/>
      <c r="L8" s="17"/>
      <c r="M8" s="17"/>
      <c r="N8" s="17"/>
      <c r="O8" s="17"/>
      <c r="P8" s="17"/>
    </row>
    <row r="9" spans="1:16" x14ac:dyDescent="0.75">
      <c r="B9" s="1" t="s">
        <v>79</v>
      </c>
      <c r="C9" s="3" t="b">
        <v>1</v>
      </c>
      <c r="D9" s="3" t="b">
        <v>0</v>
      </c>
      <c r="E9" s="3" t="b">
        <v>0</v>
      </c>
      <c r="F9" s="3" t="b">
        <v>0</v>
      </c>
      <c r="G9" s="8" t="s">
        <v>202</v>
      </c>
      <c r="H9">
        <v>3</v>
      </c>
      <c r="J9" s="17"/>
      <c r="K9" s="17"/>
      <c r="L9" s="17"/>
      <c r="M9" s="17"/>
      <c r="N9" s="17"/>
      <c r="O9" s="17"/>
      <c r="P9" s="17"/>
    </row>
    <row r="10" spans="1:16" x14ac:dyDescent="0.75">
      <c r="B10" s="1" t="s">
        <v>86</v>
      </c>
      <c r="C10" s="3" t="b">
        <v>0</v>
      </c>
      <c r="D10" s="3" t="b">
        <v>1</v>
      </c>
      <c r="E10" s="3" t="b">
        <v>0</v>
      </c>
      <c r="F10" s="3" t="b">
        <v>0</v>
      </c>
      <c r="G10" s="8" t="s">
        <v>212</v>
      </c>
      <c r="H10">
        <v>3</v>
      </c>
      <c r="J10" s="17"/>
      <c r="K10" s="17"/>
      <c r="L10" s="17"/>
      <c r="M10" s="17"/>
      <c r="N10" s="17"/>
      <c r="O10" s="17"/>
      <c r="P10" s="17"/>
    </row>
    <row r="11" spans="1:16" ht="29.5" x14ac:dyDescent="0.75">
      <c r="B11" s="1" t="s">
        <v>88</v>
      </c>
      <c r="C11" s="3" t="b">
        <v>1</v>
      </c>
      <c r="D11" s="3" t="b">
        <v>0</v>
      </c>
      <c r="E11" s="3" t="b">
        <v>0</v>
      </c>
      <c r="F11" s="3" t="b">
        <v>0</v>
      </c>
      <c r="G11" s="8" t="s">
        <v>202</v>
      </c>
      <c r="H11">
        <v>3</v>
      </c>
      <c r="J11" s="17"/>
      <c r="K11" s="17"/>
      <c r="L11" s="17"/>
      <c r="M11" s="17"/>
      <c r="N11" s="17"/>
      <c r="O11" s="17"/>
      <c r="P11" s="17"/>
    </row>
    <row r="12" spans="1:16" x14ac:dyDescent="0.75">
      <c r="B12" s="1" t="s">
        <v>102</v>
      </c>
      <c r="C12" s="3" t="b">
        <v>0</v>
      </c>
      <c r="D12" s="3" t="b">
        <v>1</v>
      </c>
      <c r="E12" s="3" t="b">
        <v>0</v>
      </c>
      <c r="F12" s="3" t="b">
        <v>0</v>
      </c>
      <c r="G12" s="8" t="s">
        <v>212</v>
      </c>
      <c r="H12">
        <v>2</v>
      </c>
      <c r="J12" s="17"/>
      <c r="K12" s="17"/>
      <c r="L12" s="17"/>
      <c r="M12" s="17"/>
      <c r="N12" s="17"/>
      <c r="O12" s="17"/>
      <c r="P12" s="17"/>
    </row>
    <row r="13" spans="1:16" ht="29.5" x14ac:dyDescent="0.75">
      <c r="B13" s="1" t="s">
        <v>105</v>
      </c>
      <c r="C13" s="3" t="b">
        <v>1</v>
      </c>
      <c r="D13" s="3" t="b">
        <v>0</v>
      </c>
      <c r="E13" s="3" t="b">
        <v>0</v>
      </c>
      <c r="F13" s="3" t="b">
        <v>0</v>
      </c>
      <c r="G13" s="8" t="s">
        <v>202</v>
      </c>
      <c r="H13">
        <v>2</v>
      </c>
      <c r="J13" s="17"/>
      <c r="K13" s="17"/>
      <c r="L13" s="17"/>
      <c r="M13" s="17"/>
      <c r="N13" s="17"/>
      <c r="O13" s="17"/>
      <c r="P13" s="17"/>
    </row>
    <row r="14" spans="1:16" x14ac:dyDescent="0.75">
      <c r="B14" s="1" t="s">
        <v>107</v>
      </c>
      <c r="C14" s="3" t="b">
        <v>1</v>
      </c>
      <c r="D14" s="3" t="b">
        <v>0</v>
      </c>
      <c r="E14" s="3" t="b">
        <v>0</v>
      </c>
      <c r="F14" s="3" t="b">
        <v>0</v>
      </c>
      <c r="G14" s="8" t="s">
        <v>202</v>
      </c>
      <c r="H14">
        <v>3</v>
      </c>
      <c r="J14" s="17"/>
      <c r="K14" s="17"/>
      <c r="L14" s="17"/>
      <c r="M14" s="17"/>
      <c r="N14" s="17"/>
      <c r="O14" s="17"/>
      <c r="P14" s="17"/>
    </row>
    <row r="15" spans="1:16" x14ac:dyDescent="0.75">
      <c r="B15" s="1" t="s">
        <v>118</v>
      </c>
      <c r="C15" s="3" t="b">
        <v>0</v>
      </c>
      <c r="D15" s="3" t="b">
        <v>0</v>
      </c>
      <c r="E15" s="3" t="b">
        <v>1</v>
      </c>
      <c r="F15" s="3" t="b">
        <v>0</v>
      </c>
      <c r="G15" s="8" t="s">
        <v>203</v>
      </c>
      <c r="H15">
        <v>3</v>
      </c>
      <c r="J15" s="17"/>
      <c r="K15" s="17"/>
      <c r="L15" s="17"/>
      <c r="M15" s="17"/>
      <c r="N15" s="17"/>
      <c r="O15" s="17"/>
      <c r="P15" s="17"/>
    </row>
    <row r="16" spans="1:16" ht="44.25" x14ac:dyDescent="0.75">
      <c r="B16" s="1" t="s">
        <v>125</v>
      </c>
      <c r="C16" s="3" t="b">
        <v>1</v>
      </c>
      <c r="D16" s="3" t="b">
        <v>0</v>
      </c>
      <c r="E16" s="3" t="b">
        <v>0</v>
      </c>
      <c r="F16" s="3" t="b">
        <v>0</v>
      </c>
      <c r="G16" s="8" t="s">
        <v>202</v>
      </c>
      <c r="H16">
        <v>3</v>
      </c>
      <c r="J16" s="17"/>
      <c r="K16" s="17"/>
      <c r="L16" s="17"/>
      <c r="M16" s="17"/>
      <c r="N16" s="17"/>
      <c r="O16" s="17"/>
      <c r="P16" s="17"/>
    </row>
    <row r="17" spans="1:16" x14ac:dyDescent="0.75">
      <c r="B17" s="1" t="s">
        <v>127</v>
      </c>
      <c r="C17" s="3" t="b">
        <v>1</v>
      </c>
      <c r="D17" s="3" t="b">
        <v>0</v>
      </c>
      <c r="E17" s="3" t="b">
        <v>0</v>
      </c>
      <c r="F17" s="3" t="b">
        <v>0</v>
      </c>
      <c r="G17" s="8" t="s">
        <v>202</v>
      </c>
      <c r="H17">
        <v>3</v>
      </c>
      <c r="J17" s="17"/>
      <c r="K17" s="17"/>
      <c r="L17" s="17"/>
      <c r="M17" s="17"/>
      <c r="N17" s="17"/>
      <c r="O17" s="17"/>
      <c r="P17" s="17"/>
    </row>
    <row r="18" spans="1:16" ht="29.5" x14ac:dyDescent="0.75">
      <c r="B18" s="1" t="s">
        <v>139</v>
      </c>
      <c r="C18" s="3" t="b">
        <v>0</v>
      </c>
      <c r="D18" s="3" t="b">
        <v>0</v>
      </c>
      <c r="E18" s="3" t="b">
        <v>1</v>
      </c>
      <c r="F18" s="3" t="b">
        <v>0</v>
      </c>
      <c r="G18" s="8" t="s">
        <v>203</v>
      </c>
      <c r="H18">
        <v>3</v>
      </c>
      <c r="J18" s="17"/>
      <c r="K18" s="17"/>
      <c r="L18" s="17"/>
      <c r="M18" s="17"/>
      <c r="N18" s="17"/>
      <c r="O18" s="17"/>
      <c r="P18" s="17"/>
    </row>
    <row r="19" spans="1:16" x14ac:dyDescent="0.75">
      <c r="A19" t="s">
        <v>238</v>
      </c>
      <c r="B19" s="4" t="s">
        <v>141</v>
      </c>
      <c r="C19" s="3" t="b">
        <v>0</v>
      </c>
      <c r="D19" s="3" t="b">
        <v>0</v>
      </c>
      <c r="E19" s="3" t="b">
        <v>0</v>
      </c>
      <c r="F19" s="3" t="b">
        <v>0</v>
      </c>
      <c r="G19" s="9"/>
      <c r="J19" s="17"/>
      <c r="K19" s="17"/>
      <c r="L19" s="17"/>
      <c r="M19" s="17"/>
      <c r="N19" s="17"/>
      <c r="O19" s="17"/>
      <c r="P19" s="17"/>
    </row>
    <row r="20" spans="1:16" ht="29.5" x14ac:dyDescent="0.75">
      <c r="B20" s="1" t="s">
        <v>143</v>
      </c>
      <c r="C20" s="3" t="b">
        <v>1</v>
      </c>
      <c r="D20" s="3" t="b">
        <v>0</v>
      </c>
      <c r="E20" s="3" t="b">
        <v>0</v>
      </c>
      <c r="F20" s="3" t="b">
        <v>0</v>
      </c>
      <c r="G20" s="8" t="s">
        <v>202</v>
      </c>
      <c r="H20">
        <v>3</v>
      </c>
      <c r="J20" s="17"/>
      <c r="K20" s="17"/>
      <c r="L20" s="17"/>
      <c r="M20" s="17"/>
      <c r="N20" s="17"/>
      <c r="O20" s="17"/>
      <c r="P20" s="17"/>
    </row>
    <row r="21" spans="1:16" ht="44.25" x14ac:dyDescent="0.75">
      <c r="B21" s="1" t="s">
        <v>149</v>
      </c>
      <c r="C21" s="3" t="b">
        <v>0</v>
      </c>
      <c r="D21" s="3" t="b">
        <v>0</v>
      </c>
      <c r="E21" s="3" t="b">
        <v>0</v>
      </c>
      <c r="F21" s="3" t="b">
        <v>1</v>
      </c>
      <c r="G21" s="8" t="s">
        <v>208</v>
      </c>
      <c r="H21">
        <v>3</v>
      </c>
      <c r="J21" s="17"/>
      <c r="K21" s="17"/>
      <c r="L21" s="17"/>
      <c r="M21" s="17"/>
      <c r="N21" s="17"/>
      <c r="O21" s="17"/>
      <c r="P21" s="17"/>
    </row>
    <row r="22" spans="1:16" ht="29.5" x14ac:dyDescent="0.75">
      <c r="B22" s="1" t="s">
        <v>153</v>
      </c>
      <c r="C22" s="3" t="b">
        <v>1</v>
      </c>
      <c r="D22" s="3" t="b">
        <v>0</v>
      </c>
      <c r="E22" s="3" t="b">
        <v>0</v>
      </c>
      <c r="F22" s="3" t="b">
        <v>0</v>
      </c>
      <c r="G22" s="8" t="s">
        <v>202</v>
      </c>
      <c r="H22">
        <v>3</v>
      </c>
      <c r="J22" s="17"/>
      <c r="K22" s="17"/>
      <c r="L22" s="17"/>
      <c r="M22" s="17"/>
      <c r="N22" s="17"/>
      <c r="O22" s="17"/>
      <c r="P22" s="17"/>
    </row>
    <row r="23" spans="1:16" x14ac:dyDescent="0.75">
      <c r="B23" s="1" t="s">
        <v>154</v>
      </c>
      <c r="C23" s="3" t="b">
        <v>0</v>
      </c>
      <c r="D23" s="3" t="b">
        <v>0</v>
      </c>
      <c r="E23" s="3" t="b">
        <v>1</v>
      </c>
      <c r="F23" s="3" t="b">
        <v>0</v>
      </c>
      <c r="G23" s="8" t="s">
        <v>203</v>
      </c>
      <c r="H23">
        <v>3</v>
      </c>
      <c r="J23" s="17"/>
      <c r="K23" s="17"/>
      <c r="L23" s="17"/>
      <c r="M23" s="17"/>
      <c r="N23" s="17"/>
      <c r="O23" s="17"/>
      <c r="P23" s="17"/>
    </row>
    <row r="24" spans="1:16" x14ac:dyDescent="0.75">
      <c r="B24" s="1" t="s">
        <v>160</v>
      </c>
      <c r="C24" s="3" t="b">
        <v>1</v>
      </c>
      <c r="D24" s="3" t="b">
        <v>0</v>
      </c>
      <c r="E24" s="3" t="b">
        <v>0</v>
      </c>
      <c r="F24" s="3" t="b">
        <v>0</v>
      </c>
      <c r="G24" s="8" t="s">
        <v>202</v>
      </c>
      <c r="H24">
        <v>3</v>
      </c>
      <c r="J24" s="17"/>
      <c r="K24" s="17"/>
      <c r="L24" s="17"/>
      <c r="M24" s="17"/>
      <c r="N24" s="17"/>
      <c r="O24" s="17"/>
      <c r="P24" s="17"/>
    </row>
    <row r="25" spans="1:16" x14ac:dyDescent="0.75">
      <c r="B25" s="1" t="s">
        <v>161</v>
      </c>
      <c r="C25" s="3" t="b">
        <v>0</v>
      </c>
      <c r="D25" s="3" t="b">
        <v>0</v>
      </c>
      <c r="E25" s="3" t="b">
        <v>1</v>
      </c>
      <c r="F25" s="3" t="b">
        <v>0</v>
      </c>
      <c r="G25" s="8" t="s">
        <v>203</v>
      </c>
      <c r="H25">
        <v>3</v>
      </c>
      <c r="J25" s="17"/>
      <c r="K25" s="17"/>
      <c r="L25" s="17"/>
      <c r="M25" s="17"/>
      <c r="N25" s="17"/>
      <c r="O25" s="17"/>
      <c r="P25" s="17"/>
    </row>
    <row r="26" spans="1:16" ht="29.5" x14ac:dyDescent="0.75">
      <c r="B26" s="1" t="s">
        <v>175</v>
      </c>
      <c r="C26" s="3" t="b">
        <v>1</v>
      </c>
      <c r="D26" s="3" t="b">
        <v>0</v>
      </c>
      <c r="E26" s="3" t="b">
        <v>0</v>
      </c>
      <c r="F26" s="3" t="b">
        <v>0</v>
      </c>
      <c r="G26" s="8" t="s">
        <v>202</v>
      </c>
      <c r="H26">
        <v>3</v>
      </c>
      <c r="J26" s="17"/>
      <c r="K26" s="17"/>
      <c r="L26" s="17"/>
      <c r="M26" s="17"/>
      <c r="N26" s="17"/>
      <c r="O26" s="17"/>
      <c r="P26" s="17"/>
    </row>
    <row r="27" spans="1:16" ht="29.5" x14ac:dyDescent="0.75">
      <c r="B27" s="1" t="s">
        <v>176</v>
      </c>
      <c r="C27" s="3" t="b">
        <v>1</v>
      </c>
      <c r="D27" s="3" t="b">
        <v>0</v>
      </c>
      <c r="E27" s="3" t="b">
        <v>0</v>
      </c>
      <c r="F27" s="3" t="b">
        <v>0</v>
      </c>
      <c r="G27" s="8" t="s">
        <v>202</v>
      </c>
      <c r="H27">
        <v>3</v>
      </c>
    </row>
    <row r="28" spans="1:16" x14ac:dyDescent="0.75">
      <c r="G28" s="8"/>
      <c r="J28" t="s">
        <v>206</v>
      </c>
      <c r="K28" t="s">
        <v>210</v>
      </c>
    </row>
    <row r="29" spans="1:16" x14ac:dyDescent="0.75">
      <c r="G29" s="8"/>
    </row>
    <row r="30" spans="1:16" x14ac:dyDescent="0.75">
      <c r="G30" s="8"/>
    </row>
    <row r="31" spans="1:16" x14ac:dyDescent="0.75">
      <c r="G31" s="8"/>
    </row>
    <row r="32" spans="1:16" x14ac:dyDescent="0.75">
      <c r="G32" s="8"/>
    </row>
    <row r="33" spans="3:7" x14ac:dyDescent="0.75">
      <c r="G33" s="8"/>
    </row>
    <row r="34" spans="3:7" x14ac:dyDescent="0.75">
      <c r="C34">
        <f>COUNTIF(C3:C32, TRUE)</f>
        <v>12</v>
      </c>
      <c r="D34">
        <f t="shared" ref="D34:F34" si="0">COUNTIF(D3:D32, TRUE)</f>
        <v>2</v>
      </c>
      <c r="E34">
        <f t="shared" si="0"/>
        <v>5</v>
      </c>
      <c r="F34">
        <f t="shared" si="0"/>
        <v>5</v>
      </c>
      <c r="G34" s="8">
        <f>SUM(C34:F34)</f>
        <v>24</v>
      </c>
    </row>
  </sheetData>
  <mergeCells count="1">
    <mergeCell ref="J3:P26"/>
  </mergeCells>
  <phoneticPr fontId="3" type="noConversion"/>
  <conditionalFormatting sqref="H3:H27">
    <cfRule type="cellIs" dxfId="2" priority="1" operator="lessThan">
      <formula>2</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6F184-EE01-413A-A81B-CD6DD9A6FFCC}">
  <dimension ref="A1:P34"/>
  <sheetViews>
    <sheetView topLeftCell="B23" workbookViewId="0">
      <selection activeCell="J28" sqref="J28:K30"/>
    </sheetView>
  </sheetViews>
  <sheetFormatPr defaultRowHeight="14.75" x14ac:dyDescent="0.75"/>
  <cols>
    <col min="2" max="2" width="73.08984375" customWidth="1"/>
    <col min="7" max="7" width="19.2265625" customWidth="1"/>
    <col min="10" max="10" width="16.86328125" customWidth="1"/>
  </cols>
  <sheetData>
    <row r="1" spans="1:16" x14ac:dyDescent="0.75">
      <c r="A1" s="14"/>
      <c r="B1" s="14" t="s">
        <v>6</v>
      </c>
      <c r="C1" s="14"/>
      <c r="D1" s="14"/>
      <c r="E1" s="14"/>
      <c r="F1" s="14"/>
      <c r="G1" s="14" t="s">
        <v>204</v>
      </c>
      <c r="H1" s="14" t="s">
        <v>205</v>
      </c>
    </row>
    <row r="2" spans="1:16" x14ac:dyDescent="0.75">
      <c r="A2" s="14" t="s">
        <v>237</v>
      </c>
      <c r="B2" s="14" t="s">
        <v>128</v>
      </c>
      <c r="C2" s="14" t="s">
        <v>239</v>
      </c>
      <c r="D2" s="14" t="s">
        <v>220</v>
      </c>
      <c r="E2" s="14" t="s">
        <v>219</v>
      </c>
      <c r="F2" s="14" t="s">
        <v>217</v>
      </c>
      <c r="G2" s="15"/>
      <c r="H2" s="14"/>
    </row>
    <row r="3" spans="1:16" x14ac:dyDescent="0.75">
      <c r="B3" s="1" t="s">
        <v>33</v>
      </c>
      <c r="C3" s="3" t="b">
        <v>1</v>
      </c>
      <c r="D3" s="3" t="b">
        <v>0</v>
      </c>
      <c r="E3" s="3" t="b">
        <v>0</v>
      </c>
      <c r="F3" s="3" t="b">
        <v>0</v>
      </c>
      <c r="G3" s="8" t="s">
        <v>202</v>
      </c>
      <c r="H3">
        <v>2</v>
      </c>
      <c r="J3" s="17" t="s">
        <v>14</v>
      </c>
      <c r="K3" s="17"/>
      <c r="L3" s="17"/>
      <c r="M3" s="17"/>
      <c r="N3" s="17"/>
      <c r="O3" s="17"/>
      <c r="P3" s="17"/>
    </row>
    <row r="4" spans="1:16" x14ac:dyDescent="0.75">
      <c r="A4" t="s">
        <v>238</v>
      </c>
      <c r="B4" s="16" t="s">
        <v>44</v>
      </c>
      <c r="C4" s="3" t="s">
        <v>236</v>
      </c>
      <c r="D4" s="3" t="b">
        <v>0</v>
      </c>
      <c r="E4" s="3" t="b">
        <v>0</v>
      </c>
      <c r="F4" s="3" t="b">
        <v>0</v>
      </c>
      <c r="G4" s="8" t="s">
        <v>202</v>
      </c>
      <c r="H4">
        <v>3</v>
      </c>
      <c r="J4" s="17"/>
      <c r="K4" s="17"/>
      <c r="L4" s="17"/>
      <c r="M4" s="17"/>
      <c r="N4" s="17"/>
      <c r="O4" s="17"/>
      <c r="P4" s="17"/>
    </row>
    <row r="5" spans="1:16" ht="29.5" x14ac:dyDescent="0.75">
      <c r="B5" s="1" t="s">
        <v>46</v>
      </c>
      <c r="C5" s="3" t="b">
        <v>1</v>
      </c>
      <c r="D5" s="3" t="b">
        <v>0</v>
      </c>
      <c r="E5" s="3" t="b">
        <v>0</v>
      </c>
      <c r="F5" s="3" t="b">
        <v>0</v>
      </c>
      <c r="G5" s="8" t="s">
        <v>202</v>
      </c>
      <c r="H5">
        <v>3</v>
      </c>
      <c r="J5" s="17"/>
      <c r="K5" s="17"/>
      <c r="L5" s="17"/>
      <c r="M5" s="17"/>
      <c r="N5" s="17"/>
      <c r="O5" s="17"/>
      <c r="P5" s="17"/>
    </row>
    <row r="6" spans="1:16" ht="29.5" x14ac:dyDescent="0.75">
      <c r="B6" s="1" t="s">
        <v>60</v>
      </c>
      <c r="C6" s="3" t="b">
        <v>0</v>
      </c>
      <c r="D6" s="3" t="b">
        <v>0</v>
      </c>
      <c r="E6" s="3" t="b">
        <v>0</v>
      </c>
      <c r="F6" s="3" t="b">
        <v>1</v>
      </c>
      <c r="G6" s="8" t="s">
        <v>232</v>
      </c>
      <c r="H6">
        <v>3</v>
      </c>
      <c r="J6" s="17"/>
      <c r="K6" s="17"/>
      <c r="L6" s="17"/>
      <c r="M6" s="17"/>
      <c r="N6" s="17"/>
      <c r="O6" s="17"/>
      <c r="P6" s="17"/>
    </row>
    <row r="7" spans="1:16" x14ac:dyDescent="0.75">
      <c r="B7" s="1" t="s">
        <v>62</v>
      </c>
      <c r="C7" s="3" t="b">
        <v>1</v>
      </c>
      <c r="D7" s="3" t="b">
        <v>0</v>
      </c>
      <c r="E7" s="3" t="b">
        <v>0</v>
      </c>
      <c r="F7" s="3" t="b">
        <v>0</v>
      </c>
      <c r="G7" s="8" t="s">
        <v>202</v>
      </c>
      <c r="H7">
        <v>3</v>
      </c>
      <c r="J7" s="17"/>
      <c r="K7" s="17"/>
      <c r="L7" s="17"/>
      <c r="M7" s="17"/>
      <c r="N7" s="17"/>
      <c r="O7" s="17"/>
      <c r="P7" s="17"/>
    </row>
    <row r="8" spans="1:16" x14ac:dyDescent="0.75">
      <c r="B8" s="1" t="s">
        <v>71</v>
      </c>
      <c r="C8" s="3" t="b">
        <v>0</v>
      </c>
      <c r="D8" s="3" t="b">
        <v>1</v>
      </c>
      <c r="E8" s="3" t="b">
        <v>0</v>
      </c>
      <c r="F8" s="3" t="b">
        <v>0</v>
      </c>
      <c r="G8" s="8" t="s">
        <v>203</v>
      </c>
      <c r="H8">
        <v>2</v>
      </c>
      <c r="J8" s="17"/>
      <c r="K8" s="17"/>
      <c r="L8" s="17"/>
      <c r="M8" s="17"/>
      <c r="N8" s="17"/>
      <c r="O8" s="17"/>
      <c r="P8" s="17"/>
    </row>
    <row r="9" spans="1:16" x14ac:dyDescent="0.75">
      <c r="B9" s="1" t="s">
        <v>72</v>
      </c>
      <c r="C9" s="3" t="b">
        <v>1</v>
      </c>
      <c r="D9" s="3" t="b">
        <v>0</v>
      </c>
      <c r="E9" s="3" t="b">
        <v>0</v>
      </c>
      <c r="F9" s="3" t="b">
        <v>0</v>
      </c>
      <c r="G9" s="8" t="s">
        <v>202</v>
      </c>
      <c r="H9">
        <v>3</v>
      </c>
      <c r="J9" s="17"/>
      <c r="K9" s="17"/>
      <c r="L9" s="17"/>
      <c r="M9" s="17"/>
      <c r="N9" s="17"/>
      <c r="O9" s="17"/>
      <c r="P9" s="17"/>
    </row>
    <row r="10" spans="1:16" ht="29.5" x14ac:dyDescent="0.75">
      <c r="B10" s="1" t="s">
        <v>90</v>
      </c>
      <c r="C10" s="3" t="b">
        <v>0</v>
      </c>
      <c r="D10" s="3" t="b">
        <v>0</v>
      </c>
      <c r="E10" s="3" t="b">
        <v>0</v>
      </c>
      <c r="F10" s="3" t="b">
        <v>1</v>
      </c>
      <c r="G10" s="8" t="s">
        <v>232</v>
      </c>
      <c r="H10">
        <v>3</v>
      </c>
      <c r="J10" s="17"/>
      <c r="K10" s="17"/>
      <c r="L10" s="17"/>
      <c r="M10" s="17"/>
      <c r="N10" s="17"/>
      <c r="O10" s="17"/>
      <c r="P10" s="17"/>
    </row>
    <row r="11" spans="1:16" x14ac:dyDescent="0.75">
      <c r="B11" s="1" t="s">
        <v>92</v>
      </c>
      <c r="C11" s="3" t="b">
        <v>0</v>
      </c>
      <c r="D11" s="3" t="b">
        <v>0</v>
      </c>
      <c r="E11" s="3" t="b">
        <v>1</v>
      </c>
      <c r="F11" s="3" t="b">
        <v>0</v>
      </c>
      <c r="G11" s="8" t="s">
        <v>203</v>
      </c>
      <c r="H11">
        <v>3</v>
      </c>
      <c r="J11" s="17"/>
      <c r="K11" s="17"/>
      <c r="L11" s="17"/>
      <c r="M11" s="17"/>
      <c r="N11" s="17"/>
      <c r="O11" s="17"/>
      <c r="P11" s="17"/>
    </row>
    <row r="12" spans="1:16" x14ac:dyDescent="0.75">
      <c r="B12" s="1" t="s">
        <v>93</v>
      </c>
      <c r="C12" s="3" t="b">
        <v>0</v>
      </c>
      <c r="D12" s="3" t="b">
        <v>0</v>
      </c>
      <c r="E12" s="3" t="b">
        <v>1</v>
      </c>
      <c r="F12" s="3" t="b">
        <v>0</v>
      </c>
      <c r="G12" s="8" t="s">
        <v>233</v>
      </c>
      <c r="H12">
        <v>2</v>
      </c>
      <c r="J12" s="17"/>
      <c r="K12" s="17"/>
      <c r="L12" s="17"/>
      <c r="M12" s="17"/>
      <c r="N12" s="17"/>
      <c r="O12" s="17"/>
      <c r="P12" s="17"/>
    </row>
    <row r="13" spans="1:16" x14ac:dyDescent="0.75">
      <c r="B13" s="1" t="s">
        <v>113</v>
      </c>
      <c r="C13" s="3" t="b">
        <v>1</v>
      </c>
      <c r="D13" s="3" t="b">
        <v>0</v>
      </c>
      <c r="E13" s="3" t="b">
        <v>0</v>
      </c>
      <c r="F13" s="3" t="b">
        <v>0</v>
      </c>
      <c r="G13" s="8" t="s">
        <v>202</v>
      </c>
      <c r="H13">
        <v>3</v>
      </c>
      <c r="J13" s="17"/>
      <c r="K13" s="17"/>
      <c r="L13" s="17"/>
      <c r="M13" s="17"/>
      <c r="N13" s="17"/>
      <c r="O13" s="17"/>
      <c r="P13" s="17"/>
    </row>
    <row r="14" spans="1:16" x14ac:dyDescent="0.75">
      <c r="B14" s="1" t="s">
        <v>116</v>
      </c>
      <c r="C14" s="3" t="b">
        <v>1</v>
      </c>
      <c r="D14" s="3" t="b">
        <v>0</v>
      </c>
      <c r="E14" s="3" t="b">
        <v>0</v>
      </c>
      <c r="F14" s="3" t="b">
        <v>0</v>
      </c>
      <c r="G14" s="8" t="s">
        <v>202</v>
      </c>
      <c r="H14">
        <v>2</v>
      </c>
      <c r="J14" s="17"/>
      <c r="K14" s="17"/>
      <c r="L14" s="17"/>
      <c r="M14" s="17"/>
      <c r="N14" s="17"/>
      <c r="O14" s="17"/>
      <c r="P14" s="17"/>
    </row>
    <row r="15" spans="1:16" x14ac:dyDescent="0.75">
      <c r="A15" t="s">
        <v>238</v>
      </c>
      <c r="B15" s="4" t="s">
        <v>120</v>
      </c>
      <c r="C15" s="3" t="b">
        <v>0</v>
      </c>
      <c r="D15" s="3" t="b">
        <v>0</v>
      </c>
      <c r="E15" s="3" t="b">
        <v>0</v>
      </c>
      <c r="F15" s="3" t="b">
        <v>0</v>
      </c>
      <c r="G15" s="8"/>
      <c r="J15" s="17"/>
      <c r="K15" s="17"/>
      <c r="L15" s="17"/>
      <c r="M15" s="17"/>
      <c r="N15" s="17"/>
      <c r="O15" s="17"/>
      <c r="P15" s="17"/>
    </row>
    <row r="16" spans="1:16" x14ac:dyDescent="0.75">
      <c r="B16" s="1" t="s">
        <v>128</v>
      </c>
      <c r="C16" s="3" t="b">
        <v>1</v>
      </c>
      <c r="D16" s="3" t="b">
        <v>0</v>
      </c>
      <c r="E16" s="3" t="b">
        <v>0</v>
      </c>
      <c r="F16" s="3" t="b">
        <v>0</v>
      </c>
      <c r="G16" s="8" t="s">
        <v>202</v>
      </c>
      <c r="H16">
        <v>3</v>
      </c>
      <c r="J16" s="17"/>
      <c r="K16" s="17"/>
      <c r="L16" s="17"/>
      <c r="M16" s="17"/>
      <c r="N16" s="17"/>
      <c r="O16" s="17"/>
      <c r="P16" s="17"/>
    </row>
    <row r="17" spans="2:16" x14ac:dyDescent="0.75">
      <c r="B17" s="1" t="s">
        <v>129</v>
      </c>
      <c r="C17" s="3" t="b">
        <v>0</v>
      </c>
      <c r="D17" s="3" t="b">
        <v>0</v>
      </c>
      <c r="E17" s="3" t="b">
        <v>0</v>
      </c>
      <c r="F17" s="3" t="b">
        <v>1</v>
      </c>
      <c r="G17" s="8" t="s">
        <v>234</v>
      </c>
      <c r="H17">
        <v>2</v>
      </c>
      <c r="J17" s="17"/>
      <c r="K17" s="17"/>
      <c r="L17" s="17"/>
      <c r="M17" s="17"/>
      <c r="N17" s="17"/>
      <c r="O17" s="17"/>
      <c r="P17" s="17"/>
    </row>
    <row r="18" spans="2:16" x14ac:dyDescent="0.75">
      <c r="B18" s="1" t="s">
        <v>133</v>
      </c>
      <c r="C18" s="3" t="b">
        <v>1</v>
      </c>
      <c r="D18" s="3" t="b">
        <v>0</v>
      </c>
      <c r="E18" s="3" t="b">
        <v>0</v>
      </c>
      <c r="F18" s="3" t="b">
        <v>0</v>
      </c>
      <c r="G18" s="8" t="s">
        <v>202</v>
      </c>
      <c r="H18">
        <v>3</v>
      </c>
      <c r="J18" s="17"/>
      <c r="K18" s="17"/>
      <c r="L18" s="17"/>
      <c r="M18" s="17"/>
      <c r="N18" s="17"/>
      <c r="O18" s="17"/>
      <c r="P18" s="17"/>
    </row>
    <row r="19" spans="2:16" x14ac:dyDescent="0.75">
      <c r="B19" s="1" t="s">
        <v>135</v>
      </c>
      <c r="C19" s="3" t="b">
        <v>1</v>
      </c>
      <c r="D19" s="3" t="b">
        <v>0</v>
      </c>
      <c r="E19" s="3" t="b">
        <v>0</v>
      </c>
      <c r="F19" s="3" t="b">
        <v>0</v>
      </c>
      <c r="G19" s="9" t="s">
        <v>202</v>
      </c>
      <c r="H19">
        <v>3</v>
      </c>
      <c r="J19" s="17"/>
      <c r="K19" s="17"/>
      <c r="L19" s="17"/>
      <c r="M19" s="17"/>
      <c r="N19" s="17"/>
      <c r="O19" s="17"/>
      <c r="P19" s="17"/>
    </row>
    <row r="20" spans="2:16" ht="29.5" x14ac:dyDescent="0.75">
      <c r="B20" s="1" t="s">
        <v>140</v>
      </c>
      <c r="C20" s="3" t="b">
        <v>0</v>
      </c>
      <c r="D20" s="3" t="b">
        <v>1</v>
      </c>
      <c r="E20" s="3" t="b">
        <v>0</v>
      </c>
      <c r="F20" s="3" t="b">
        <v>0</v>
      </c>
      <c r="G20" s="8" t="s">
        <v>223</v>
      </c>
      <c r="H20">
        <v>2</v>
      </c>
      <c r="J20" s="17"/>
      <c r="K20" s="17"/>
      <c r="L20" s="17"/>
      <c r="M20" s="17"/>
      <c r="N20" s="17"/>
      <c r="O20" s="17"/>
      <c r="P20" s="17"/>
    </row>
    <row r="21" spans="2:16" ht="29.5" x14ac:dyDescent="0.75">
      <c r="B21" s="1" t="s">
        <v>151</v>
      </c>
      <c r="C21" s="3" t="b">
        <v>0</v>
      </c>
      <c r="D21" s="3" t="b">
        <v>0</v>
      </c>
      <c r="E21" s="3" t="b">
        <v>1</v>
      </c>
      <c r="F21" s="3" t="b">
        <v>0</v>
      </c>
      <c r="G21" s="8" t="s">
        <v>203</v>
      </c>
      <c r="H21">
        <v>3</v>
      </c>
      <c r="J21" s="17"/>
      <c r="K21" s="17"/>
      <c r="L21" s="17"/>
      <c r="M21" s="17"/>
      <c r="N21" s="17"/>
      <c r="O21" s="17"/>
      <c r="P21" s="17"/>
    </row>
    <row r="22" spans="2:16" x14ac:dyDescent="0.75">
      <c r="B22" s="1" t="s">
        <v>157</v>
      </c>
      <c r="C22" s="3" t="b">
        <v>1</v>
      </c>
      <c r="D22" s="3" t="b">
        <v>0</v>
      </c>
      <c r="E22" s="3" t="b">
        <v>0</v>
      </c>
      <c r="F22" s="3" t="b">
        <v>0</v>
      </c>
      <c r="G22" s="8" t="s">
        <v>202</v>
      </c>
      <c r="H22">
        <v>3</v>
      </c>
      <c r="J22" s="17"/>
      <c r="K22" s="17"/>
      <c r="L22" s="17"/>
      <c r="M22" s="17"/>
      <c r="N22" s="17"/>
      <c r="O22" s="17"/>
      <c r="P22" s="17"/>
    </row>
    <row r="23" spans="2:16" x14ac:dyDescent="0.75">
      <c r="B23" s="1" t="s">
        <v>159</v>
      </c>
      <c r="C23" s="3" t="b">
        <v>0</v>
      </c>
      <c r="D23" s="3" t="b">
        <v>1</v>
      </c>
      <c r="E23" s="3" t="b">
        <v>0</v>
      </c>
      <c r="F23" s="3" t="b">
        <v>0</v>
      </c>
      <c r="G23" s="8" t="s">
        <v>223</v>
      </c>
      <c r="H23">
        <v>2</v>
      </c>
      <c r="J23" s="17"/>
      <c r="K23" s="17"/>
      <c r="L23" s="17"/>
      <c r="M23" s="17"/>
      <c r="N23" s="17"/>
      <c r="O23" s="17"/>
      <c r="P23" s="17"/>
    </row>
    <row r="24" spans="2:16" x14ac:dyDescent="0.75">
      <c r="B24" s="1" t="s">
        <v>162</v>
      </c>
      <c r="C24" s="3" t="b">
        <v>1</v>
      </c>
      <c r="D24" s="3" t="b">
        <v>0</v>
      </c>
      <c r="E24" s="3" t="b">
        <v>0</v>
      </c>
      <c r="F24" s="3" t="b">
        <v>0</v>
      </c>
      <c r="G24" s="8" t="s">
        <v>202</v>
      </c>
      <c r="H24">
        <v>2</v>
      </c>
      <c r="J24" s="17"/>
      <c r="K24" s="17"/>
      <c r="L24" s="17"/>
      <c r="M24" s="17"/>
      <c r="N24" s="17"/>
      <c r="O24" s="17"/>
      <c r="P24" s="17"/>
    </row>
    <row r="25" spans="2:16" ht="29.5" x14ac:dyDescent="0.75">
      <c r="B25" s="1" t="s">
        <v>165</v>
      </c>
      <c r="C25" s="3" t="b">
        <v>0</v>
      </c>
      <c r="D25" s="3" t="b">
        <v>0</v>
      </c>
      <c r="E25" s="3" t="b">
        <v>1</v>
      </c>
      <c r="F25" s="3" t="b">
        <v>0</v>
      </c>
      <c r="G25" s="8" t="s">
        <v>203</v>
      </c>
      <c r="H25">
        <v>3</v>
      </c>
      <c r="J25" s="17"/>
      <c r="K25" s="17"/>
      <c r="L25" s="17"/>
      <c r="M25" s="17"/>
      <c r="N25" s="17"/>
      <c r="O25" s="17"/>
      <c r="P25" s="17"/>
    </row>
    <row r="26" spans="2:16" ht="29.5" x14ac:dyDescent="0.75">
      <c r="B26" s="1" t="s">
        <v>166</v>
      </c>
      <c r="C26" s="3" t="b">
        <v>0</v>
      </c>
      <c r="D26" s="3" t="b">
        <v>0</v>
      </c>
      <c r="E26" s="3" t="b">
        <v>1</v>
      </c>
      <c r="F26" s="3" t="b">
        <v>0</v>
      </c>
      <c r="G26" s="8" t="s">
        <v>235</v>
      </c>
      <c r="H26">
        <v>2</v>
      </c>
      <c r="J26" s="17"/>
      <c r="K26" s="17"/>
      <c r="L26" s="17"/>
      <c r="M26" s="17"/>
      <c r="N26" s="17"/>
      <c r="O26" s="17"/>
      <c r="P26" s="17"/>
    </row>
    <row r="27" spans="2:16" ht="29.5" x14ac:dyDescent="0.75">
      <c r="B27" s="1" t="s">
        <v>167</v>
      </c>
      <c r="C27" s="3" t="b">
        <v>0</v>
      </c>
      <c r="D27" s="3" t="b">
        <v>1</v>
      </c>
      <c r="E27" s="3" t="b">
        <v>0</v>
      </c>
      <c r="F27" s="3" t="b">
        <v>0</v>
      </c>
      <c r="G27" s="8" t="s">
        <v>223</v>
      </c>
      <c r="H27">
        <v>2</v>
      </c>
      <c r="J27" t="s">
        <v>206</v>
      </c>
      <c r="K27" t="s">
        <v>213</v>
      </c>
    </row>
    <row r="28" spans="2:16" x14ac:dyDescent="0.75">
      <c r="B28" s="1" t="s">
        <v>168</v>
      </c>
      <c r="C28" s="3" t="b">
        <v>0</v>
      </c>
      <c r="D28" s="3" t="b">
        <v>1</v>
      </c>
      <c r="E28" s="3" t="b">
        <v>0</v>
      </c>
      <c r="F28" s="3" t="b">
        <v>0</v>
      </c>
      <c r="G28" s="8" t="s">
        <v>223</v>
      </c>
      <c r="H28">
        <v>2</v>
      </c>
    </row>
    <row r="29" spans="2:16" x14ac:dyDescent="0.75">
      <c r="G29" s="8"/>
    </row>
    <row r="30" spans="2:16" x14ac:dyDescent="0.75">
      <c r="G30" s="8"/>
    </row>
    <row r="31" spans="2:16" x14ac:dyDescent="0.75">
      <c r="G31" s="8"/>
    </row>
    <row r="32" spans="2:16" x14ac:dyDescent="0.75">
      <c r="G32" s="8"/>
    </row>
    <row r="33" spans="3:7" x14ac:dyDescent="0.75">
      <c r="G33" s="8"/>
    </row>
    <row r="34" spans="3:7" x14ac:dyDescent="0.75">
      <c r="C34">
        <f>COUNTIF(C3:C32, TRUE)</f>
        <v>11</v>
      </c>
      <c r="D34">
        <f t="shared" ref="D34:F34" si="0">COUNTIF(D3:D32, TRUE)</f>
        <v>5</v>
      </c>
      <c r="E34">
        <f t="shared" si="0"/>
        <v>5</v>
      </c>
      <c r="F34">
        <f t="shared" si="0"/>
        <v>3</v>
      </c>
      <c r="G34" s="8">
        <f>SUM(C34:F34)</f>
        <v>24</v>
      </c>
    </row>
  </sheetData>
  <mergeCells count="1">
    <mergeCell ref="J3:P26"/>
  </mergeCells>
  <phoneticPr fontId="3" type="noConversion"/>
  <conditionalFormatting sqref="H3:H28">
    <cfRule type="cellIs" dxfId="1" priority="1" operator="lessThan">
      <formula>2</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EA810-0693-40E9-BBFB-6BBBB56F88AD}">
  <dimension ref="A1:P34"/>
  <sheetViews>
    <sheetView topLeftCell="B23" workbookViewId="0">
      <selection activeCell="J28" sqref="J28:M30"/>
    </sheetView>
  </sheetViews>
  <sheetFormatPr defaultRowHeight="14.75" x14ac:dyDescent="0.75"/>
  <cols>
    <col min="2" max="2" width="71.31640625" customWidth="1"/>
    <col min="7" max="7" width="31.1328125" customWidth="1"/>
  </cols>
  <sheetData>
    <row r="1" spans="1:16" x14ac:dyDescent="0.75">
      <c r="A1" s="14"/>
      <c r="B1" s="14" t="s">
        <v>7</v>
      </c>
      <c r="C1" s="14"/>
      <c r="D1" s="14"/>
      <c r="E1" s="14"/>
      <c r="F1" s="14"/>
      <c r="G1" s="14" t="s">
        <v>204</v>
      </c>
      <c r="H1" s="14" t="s">
        <v>205</v>
      </c>
    </row>
    <row r="2" spans="1:16" x14ac:dyDescent="0.75">
      <c r="A2" s="14" t="s">
        <v>237</v>
      </c>
      <c r="B2" s="14" t="s">
        <v>187</v>
      </c>
      <c r="C2" s="14" t="s">
        <v>239</v>
      </c>
      <c r="D2" s="14" t="s">
        <v>220</v>
      </c>
      <c r="E2" s="14" t="s">
        <v>219</v>
      </c>
      <c r="F2" s="14" t="s">
        <v>217</v>
      </c>
      <c r="G2" s="15"/>
      <c r="H2" s="14"/>
    </row>
    <row r="3" spans="1:16" x14ac:dyDescent="0.75">
      <c r="B3" s="1" t="s">
        <v>188</v>
      </c>
      <c r="C3" s="3" t="b">
        <v>0</v>
      </c>
      <c r="D3" s="3" t="b">
        <v>0</v>
      </c>
      <c r="E3" s="3" t="b">
        <v>1</v>
      </c>
      <c r="F3" s="3" t="b">
        <v>0</v>
      </c>
      <c r="G3" s="8" t="s">
        <v>203</v>
      </c>
      <c r="H3">
        <v>3</v>
      </c>
      <c r="J3" s="17" t="s">
        <v>15</v>
      </c>
      <c r="K3" s="17"/>
      <c r="L3" s="17"/>
      <c r="M3" s="17"/>
      <c r="N3" s="17"/>
      <c r="O3" s="17"/>
      <c r="P3" s="17"/>
    </row>
    <row r="4" spans="1:16" ht="29.5" x14ac:dyDescent="0.75">
      <c r="B4" s="1" t="s">
        <v>38</v>
      </c>
      <c r="C4" s="3" t="b">
        <v>0</v>
      </c>
      <c r="D4" s="3" t="b">
        <v>1</v>
      </c>
      <c r="E4" s="3" t="b">
        <v>0</v>
      </c>
      <c r="F4" s="3" t="b">
        <v>0</v>
      </c>
      <c r="G4" s="8" t="s">
        <v>216</v>
      </c>
      <c r="H4">
        <v>2</v>
      </c>
      <c r="J4" s="17"/>
      <c r="K4" s="17"/>
      <c r="L4" s="17"/>
      <c r="M4" s="17"/>
      <c r="N4" s="17"/>
      <c r="O4" s="17"/>
      <c r="P4" s="17"/>
    </row>
    <row r="5" spans="1:16" x14ac:dyDescent="0.75">
      <c r="B5" s="1" t="s">
        <v>53</v>
      </c>
      <c r="C5" s="3" t="b">
        <v>0</v>
      </c>
      <c r="D5" s="3" t="b">
        <v>1</v>
      </c>
      <c r="E5" s="3" t="b">
        <v>0</v>
      </c>
      <c r="F5" s="3" t="b">
        <v>0</v>
      </c>
      <c r="G5" s="8" t="s">
        <v>216</v>
      </c>
      <c r="H5">
        <v>2</v>
      </c>
      <c r="J5" s="17"/>
      <c r="K5" s="17"/>
      <c r="L5" s="17"/>
      <c r="M5" s="17"/>
      <c r="N5" s="17"/>
      <c r="O5" s="17"/>
      <c r="P5" s="17"/>
    </row>
    <row r="6" spans="1:16" x14ac:dyDescent="0.75">
      <c r="B6" s="1" t="s">
        <v>73</v>
      </c>
      <c r="C6" s="3" t="b">
        <v>1</v>
      </c>
      <c r="D6" s="3" t="b">
        <v>0</v>
      </c>
      <c r="E6" s="3" t="b">
        <v>0</v>
      </c>
      <c r="F6" s="3" t="b">
        <v>0</v>
      </c>
      <c r="G6" s="8" t="s">
        <v>202</v>
      </c>
      <c r="H6">
        <v>3</v>
      </c>
      <c r="J6" s="17"/>
      <c r="K6" s="17"/>
      <c r="L6" s="17"/>
      <c r="M6" s="17"/>
      <c r="N6" s="17"/>
      <c r="O6" s="17"/>
      <c r="P6" s="17"/>
    </row>
    <row r="7" spans="1:16" x14ac:dyDescent="0.75">
      <c r="A7" t="s">
        <v>238</v>
      </c>
      <c r="B7" s="4" t="s">
        <v>77</v>
      </c>
      <c r="C7" s="3" t="b">
        <v>0</v>
      </c>
      <c r="D7" s="3" t="b">
        <v>0</v>
      </c>
      <c r="E7" s="3" t="b">
        <v>0</v>
      </c>
      <c r="F7" s="3" t="b">
        <v>0</v>
      </c>
      <c r="G7" s="8"/>
      <c r="J7" s="17"/>
      <c r="K7" s="17"/>
      <c r="L7" s="17"/>
      <c r="M7" s="17"/>
      <c r="N7" s="17"/>
      <c r="O7" s="17"/>
      <c r="P7" s="17"/>
    </row>
    <row r="8" spans="1:16" ht="29.5" x14ac:dyDescent="0.75">
      <c r="B8" s="1" t="s">
        <v>81</v>
      </c>
      <c r="C8" s="3" t="b">
        <v>1</v>
      </c>
      <c r="D8" s="3" t="b">
        <v>0</v>
      </c>
      <c r="E8" s="3" t="b">
        <v>0</v>
      </c>
      <c r="F8" s="3" t="b">
        <v>0</v>
      </c>
      <c r="G8" s="8" t="s">
        <v>202</v>
      </c>
      <c r="H8">
        <v>3</v>
      </c>
      <c r="J8" s="17"/>
      <c r="K8" s="17"/>
      <c r="L8" s="17"/>
      <c r="M8" s="17"/>
      <c r="N8" s="17"/>
      <c r="O8" s="17"/>
      <c r="P8" s="17"/>
    </row>
    <row r="9" spans="1:16" x14ac:dyDescent="0.75">
      <c r="B9" s="1" t="s">
        <v>84</v>
      </c>
      <c r="C9" s="3" t="b">
        <v>0</v>
      </c>
      <c r="D9" s="3" t="b">
        <v>0</v>
      </c>
      <c r="E9" s="3" t="b">
        <v>1</v>
      </c>
      <c r="F9" s="3" t="b">
        <v>0</v>
      </c>
      <c r="G9" s="8" t="s">
        <v>203</v>
      </c>
      <c r="H9">
        <v>3</v>
      </c>
      <c r="J9" s="17"/>
      <c r="K9" s="17"/>
      <c r="L9" s="17"/>
      <c r="M9" s="17"/>
      <c r="N9" s="17"/>
      <c r="O9" s="17"/>
      <c r="P9" s="17"/>
    </row>
    <row r="10" spans="1:16" x14ac:dyDescent="0.75">
      <c r="B10" s="1" t="s">
        <v>85</v>
      </c>
      <c r="C10" s="3" t="b">
        <v>1</v>
      </c>
      <c r="D10" s="3" t="b">
        <v>0</v>
      </c>
      <c r="E10" s="3" t="b">
        <v>0</v>
      </c>
      <c r="F10" s="3" t="b">
        <v>0</v>
      </c>
      <c r="G10" s="8" t="s">
        <v>202</v>
      </c>
      <c r="H10">
        <v>3</v>
      </c>
      <c r="J10" s="17"/>
      <c r="K10" s="17"/>
      <c r="L10" s="17"/>
      <c r="M10" s="17"/>
      <c r="N10" s="17"/>
      <c r="O10" s="17"/>
      <c r="P10" s="17"/>
    </row>
    <row r="11" spans="1:16" x14ac:dyDescent="0.75">
      <c r="B11" s="1" t="s">
        <v>89</v>
      </c>
      <c r="C11" s="3" t="b">
        <v>0</v>
      </c>
      <c r="D11" s="3" t="b">
        <v>1</v>
      </c>
      <c r="E11" s="3" t="b">
        <v>0</v>
      </c>
      <c r="F11" s="3" t="b">
        <v>0</v>
      </c>
      <c r="G11" s="8" t="s">
        <v>211</v>
      </c>
      <c r="H11">
        <v>3</v>
      </c>
      <c r="J11" s="17"/>
      <c r="K11" s="17"/>
      <c r="L11" s="17"/>
      <c r="M11" s="17"/>
      <c r="N11" s="17"/>
      <c r="O11" s="17"/>
      <c r="P11" s="17"/>
    </row>
    <row r="12" spans="1:16" x14ac:dyDescent="0.75">
      <c r="B12" s="1" t="s">
        <v>91</v>
      </c>
      <c r="C12" s="3" t="b">
        <v>1</v>
      </c>
      <c r="D12" s="3" t="b">
        <v>0</v>
      </c>
      <c r="E12" s="3" t="b">
        <v>0</v>
      </c>
      <c r="F12" s="3" t="b">
        <v>0</v>
      </c>
      <c r="G12" s="8" t="s">
        <v>202</v>
      </c>
      <c r="H12">
        <v>3</v>
      </c>
      <c r="J12" s="17"/>
      <c r="K12" s="17"/>
      <c r="L12" s="17"/>
      <c r="M12" s="17"/>
      <c r="N12" s="17"/>
      <c r="O12" s="17"/>
      <c r="P12" s="17"/>
    </row>
    <row r="13" spans="1:16" x14ac:dyDescent="0.75">
      <c r="B13" s="1" t="s">
        <v>97</v>
      </c>
      <c r="C13" s="3" t="b">
        <v>0</v>
      </c>
      <c r="D13" s="3" t="b">
        <v>0</v>
      </c>
      <c r="E13" s="3" t="b">
        <v>1</v>
      </c>
      <c r="F13" s="3" t="b">
        <v>0</v>
      </c>
      <c r="G13" s="8" t="s">
        <v>203</v>
      </c>
      <c r="H13">
        <v>3</v>
      </c>
      <c r="J13" s="17"/>
      <c r="K13" s="17"/>
      <c r="L13" s="17"/>
      <c r="M13" s="17"/>
      <c r="N13" s="17"/>
      <c r="O13" s="17"/>
      <c r="P13" s="17"/>
    </row>
    <row r="14" spans="1:16" x14ac:dyDescent="0.75">
      <c r="B14" s="1" t="s">
        <v>103</v>
      </c>
      <c r="C14" s="3" t="b">
        <v>1</v>
      </c>
      <c r="D14" s="3" t="b">
        <v>0</v>
      </c>
      <c r="E14" s="3" t="b">
        <v>0</v>
      </c>
      <c r="F14" s="3" t="b">
        <v>0</v>
      </c>
      <c r="G14" s="8" t="s">
        <v>202</v>
      </c>
      <c r="H14">
        <v>3</v>
      </c>
      <c r="J14" s="17"/>
      <c r="K14" s="17"/>
      <c r="L14" s="17"/>
      <c r="M14" s="17"/>
      <c r="N14" s="17"/>
      <c r="O14" s="17"/>
      <c r="P14" s="17"/>
    </row>
    <row r="15" spans="1:16" x14ac:dyDescent="0.75">
      <c r="B15" s="1" t="s">
        <v>104</v>
      </c>
      <c r="C15" s="3" t="b">
        <v>1</v>
      </c>
      <c r="D15" s="3" t="b">
        <v>0</v>
      </c>
      <c r="E15" s="3" t="b">
        <v>0</v>
      </c>
      <c r="F15" s="3" t="b">
        <v>0</v>
      </c>
      <c r="G15" s="8" t="s">
        <v>202</v>
      </c>
      <c r="H15">
        <v>3</v>
      </c>
      <c r="J15" s="17"/>
      <c r="K15" s="17"/>
      <c r="L15" s="17"/>
      <c r="M15" s="17"/>
      <c r="N15" s="17"/>
      <c r="O15" s="17"/>
      <c r="P15" s="17"/>
    </row>
    <row r="16" spans="1:16" ht="44.25" x14ac:dyDescent="0.75">
      <c r="B16" s="1" t="s">
        <v>108</v>
      </c>
      <c r="C16" s="3" t="b">
        <v>0</v>
      </c>
      <c r="D16" s="3" t="b">
        <v>1</v>
      </c>
      <c r="E16" s="3" t="b">
        <v>0</v>
      </c>
      <c r="F16" s="3" t="b">
        <v>0</v>
      </c>
      <c r="G16" s="8" t="s">
        <v>216</v>
      </c>
      <c r="H16">
        <v>2</v>
      </c>
      <c r="J16" s="17"/>
      <c r="K16" s="17"/>
      <c r="L16" s="17"/>
      <c r="M16" s="17"/>
      <c r="N16" s="17"/>
      <c r="O16" s="17"/>
      <c r="P16" s="17"/>
    </row>
    <row r="17" spans="2:16" ht="29.5" x14ac:dyDescent="0.75">
      <c r="B17" s="1" t="s">
        <v>110</v>
      </c>
      <c r="C17" s="3" t="b">
        <v>0</v>
      </c>
      <c r="D17" s="3" t="b">
        <v>0</v>
      </c>
      <c r="E17" s="3" t="b">
        <v>1</v>
      </c>
      <c r="F17" s="3" t="b">
        <v>0</v>
      </c>
      <c r="G17" s="8" t="s">
        <v>215</v>
      </c>
      <c r="H17">
        <v>3</v>
      </c>
      <c r="J17" s="17"/>
      <c r="K17" s="17"/>
      <c r="L17" s="17"/>
      <c r="M17" s="17"/>
      <c r="N17" s="17"/>
      <c r="O17" s="17"/>
      <c r="P17" s="17"/>
    </row>
    <row r="18" spans="2:16" x14ac:dyDescent="0.75">
      <c r="B18" s="1" t="s">
        <v>111</v>
      </c>
      <c r="C18" s="3" t="b">
        <v>1</v>
      </c>
      <c r="D18" s="3" t="b">
        <v>0</v>
      </c>
      <c r="E18" s="3" t="b">
        <v>0</v>
      </c>
      <c r="F18" s="3" t="b">
        <v>0</v>
      </c>
      <c r="G18" s="8" t="s">
        <v>202</v>
      </c>
      <c r="H18">
        <v>3</v>
      </c>
      <c r="J18" s="17"/>
      <c r="K18" s="17"/>
      <c r="L18" s="17"/>
      <c r="M18" s="17"/>
      <c r="N18" s="17"/>
      <c r="O18" s="17"/>
      <c r="P18" s="17"/>
    </row>
    <row r="19" spans="2:16" ht="29.5" x14ac:dyDescent="0.75">
      <c r="B19" s="1" t="s">
        <v>112</v>
      </c>
      <c r="C19" s="3" t="b">
        <v>1</v>
      </c>
      <c r="D19" s="3" t="b">
        <v>0</v>
      </c>
      <c r="E19" s="3" t="b">
        <v>0</v>
      </c>
      <c r="F19" s="3" t="b">
        <v>0</v>
      </c>
      <c r="G19" s="8" t="s">
        <v>202</v>
      </c>
      <c r="H19">
        <v>3</v>
      </c>
      <c r="J19" s="17"/>
      <c r="K19" s="17"/>
      <c r="L19" s="17"/>
      <c r="M19" s="17"/>
      <c r="N19" s="17"/>
      <c r="O19" s="17"/>
      <c r="P19" s="17"/>
    </row>
    <row r="20" spans="2:16" x14ac:dyDescent="0.75">
      <c r="B20" s="1" t="s">
        <v>121</v>
      </c>
      <c r="C20" s="3" t="b">
        <v>1</v>
      </c>
      <c r="D20" s="3" t="b">
        <v>0</v>
      </c>
      <c r="E20" s="3" t="b">
        <v>0</v>
      </c>
      <c r="F20" s="3" t="b">
        <v>0</v>
      </c>
      <c r="G20" s="8" t="s">
        <v>202</v>
      </c>
      <c r="H20">
        <v>3</v>
      </c>
      <c r="J20" s="17"/>
      <c r="K20" s="17"/>
      <c r="L20" s="17"/>
      <c r="M20" s="17"/>
      <c r="N20" s="17"/>
      <c r="O20" s="17"/>
      <c r="P20" s="17"/>
    </row>
    <row r="21" spans="2:16" ht="29.5" x14ac:dyDescent="0.75">
      <c r="B21" s="1" t="s">
        <v>123</v>
      </c>
      <c r="C21" s="3" t="b">
        <v>1</v>
      </c>
      <c r="D21" s="3" t="b">
        <v>0</v>
      </c>
      <c r="E21" s="3" t="b">
        <v>0</v>
      </c>
      <c r="F21" s="3" t="b">
        <v>0</v>
      </c>
      <c r="G21" s="8" t="s">
        <v>202</v>
      </c>
      <c r="H21">
        <v>3</v>
      </c>
      <c r="J21" s="17"/>
      <c r="K21" s="17"/>
      <c r="L21" s="17"/>
      <c r="M21" s="17"/>
      <c r="N21" s="17"/>
      <c r="O21" s="17"/>
      <c r="P21" s="17"/>
    </row>
    <row r="22" spans="2:16" x14ac:dyDescent="0.75">
      <c r="B22" s="1" t="s">
        <v>131</v>
      </c>
      <c r="C22" s="3" t="b">
        <v>1</v>
      </c>
      <c r="D22" s="3" t="b">
        <v>0</v>
      </c>
      <c r="E22" s="3" t="b">
        <v>0</v>
      </c>
      <c r="F22" s="3" t="b">
        <v>0</v>
      </c>
      <c r="G22" s="8" t="s">
        <v>202</v>
      </c>
      <c r="H22">
        <v>3</v>
      </c>
      <c r="J22" s="17"/>
      <c r="K22" s="17"/>
      <c r="L22" s="17"/>
      <c r="M22" s="17"/>
      <c r="N22" s="17"/>
      <c r="O22" s="17"/>
      <c r="P22" s="17"/>
    </row>
    <row r="23" spans="2:16" ht="29.5" x14ac:dyDescent="0.75">
      <c r="B23" s="1" t="s">
        <v>146</v>
      </c>
      <c r="C23" s="3" t="b">
        <v>0</v>
      </c>
      <c r="D23" s="3" t="b">
        <v>1</v>
      </c>
      <c r="E23" s="3" t="b">
        <v>0</v>
      </c>
      <c r="F23" s="3" t="b">
        <v>0</v>
      </c>
      <c r="G23" s="8" t="s">
        <v>221</v>
      </c>
      <c r="H23">
        <v>2</v>
      </c>
      <c r="J23" s="17"/>
      <c r="K23" s="17"/>
      <c r="L23" s="17"/>
      <c r="M23" s="17"/>
      <c r="N23" s="17"/>
      <c r="O23" s="17"/>
      <c r="P23" s="17"/>
    </row>
    <row r="24" spans="2:16" ht="29.5" x14ac:dyDescent="0.75">
      <c r="B24" s="1" t="s">
        <v>152</v>
      </c>
      <c r="C24" s="3" t="b">
        <v>1</v>
      </c>
      <c r="D24" s="3" t="b">
        <v>0</v>
      </c>
      <c r="E24" s="3" t="b">
        <v>0</v>
      </c>
      <c r="F24" s="3" t="b">
        <v>0</v>
      </c>
      <c r="G24" s="8" t="s">
        <v>202</v>
      </c>
      <c r="H24">
        <v>3</v>
      </c>
      <c r="J24" s="17"/>
      <c r="K24" s="17"/>
      <c r="L24" s="17"/>
      <c r="M24" s="17"/>
      <c r="N24" s="17"/>
      <c r="O24" s="17"/>
      <c r="P24" s="17"/>
    </row>
    <row r="25" spans="2:16" x14ac:dyDescent="0.75">
      <c r="B25" s="1" t="s">
        <v>155</v>
      </c>
      <c r="C25" s="3" t="b">
        <v>1</v>
      </c>
      <c r="D25" s="3" t="b">
        <v>0</v>
      </c>
      <c r="E25" s="3" t="b">
        <v>0</v>
      </c>
      <c r="F25" s="3" t="b">
        <v>0</v>
      </c>
      <c r="G25" s="8" t="s">
        <v>202</v>
      </c>
      <c r="H25">
        <v>3</v>
      </c>
      <c r="J25" s="17"/>
      <c r="K25" s="17"/>
      <c r="L25" s="17"/>
      <c r="M25" s="17"/>
      <c r="N25" s="17"/>
      <c r="O25" s="17"/>
      <c r="P25" s="17"/>
    </row>
    <row r="26" spans="2:16" x14ac:dyDescent="0.75">
      <c r="B26" s="1" t="s">
        <v>158</v>
      </c>
      <c r="C26" s="3" t="b">
        <v>1</v>
      </c>
      <c r="D26" s="3" t="b">
        <v>0</v>
      </c>
      <c r="E26" s="3" t="b">
        <v>0</v>
      </c>
      <c r="F26" s="3" t="b">
        <v>0</v>
      </c>
      <c r="G26" s="8" t="s">
        <v>202</v>
      </c>
      <c r="H26">
        <v>3</v>
      </c>
      <c r="J26" s="17"/>
      <c r="K26" s="17"/>
      <c r="L26" s="17"/>
      <c r="M26" s="17"/>
      <c r="N26" s="17"/>
      <c r="O26" s="17"/>
      <c r="P26" s="17"/>
    </row>
    <row r="27" spans="2:16" ht="29.5" x14ac:dyDescent="0.75">
      <c r="B27" s="1" t="s">
        <v>172</v>
      </c>
      <c r="C27" s="3" t="b">
        <v>1</v>
      </c>
      <c r="D27" s="3" t="b">
        <v>0</v>
      </c>
      <c r="E27" s="3" t="b">
        <v>0</v>
      </c>
      <c r="F27" s="3" t="b">
        <v>0</v>
      </c>
      <c r="G27" s="8" t="s">
        <v>202</v>
      </c>
      <c r="H27">
        <v>3</v>
      </c>
      <c r="J27" t="s">
        <v>206</v>
      </c>
      <c r="K27" t="s">
        <v>214</v>
      </c>
    </row>
    <row r="28" spans="2:16" x14ac:dyDescent="0.75">
      <c r="G28" s="8"/>
      <c r="L28" s="5"/>
    </row>
    <row r="29" spans="2:16" x14ac:dyDescent="0.75">
      <c r="G29" s="8"/>
    </row>
    <row r="30" spans="2:16" x14ac:dyDescent="0.75">
      <c r="G30" s="8"/>
    </row>
    <row r="31" spans="2:16" x14ac:dyDescent="0.75">
      <c r="G31" s="8"/>
    </row>
    <row r="32" spans="2:16" x14ac:dyDescent="0.75">
      <c r="G32" s="8"/>
    </row>
    <row r="33" spans="3:7" x14ac:dyDescent="0.75">
      <c r="G33" s="8"/>
    </row>
    <row r="34" spans="3:7" x14ac:dyDescent="0.75">
      <c r="C34">
        <f>COUNTIF(C3:C32, TRUE)</f>
        <v>15</v>
      </c>
      <c r="D34">
        <f t="shared" ref="D34:F34" si="0">COUNTIF(D3:D32, TRUE)</f>
        <v>5</v>
      </c>
      <c r="E34">
        <f t="shared" si="0"/>
        <v>4</v>
      </c>
      <c r="F34">
        <f t="shared" si="0"/>
        <v>0</v>
      </c>
      <c r="G34" s="8">
        <f>SUM(C34:F34)</f>
        <v>24</v>
      </c>
    </row>
  </sheetData>
  <mergeCells count="1">
    <mergeCell ref="J3:P26"/>
  </mergeCells>
  <phoneticPr fontId="3" type="noConversion"/>
  <conditionalFormatting sqref="H3:H27">
    <cfRule type="cellIs" dxfId="0" priority="1" operator="lessThan">
      <formula>2</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0D736-3D59-4808-9C62-36E91309A431}">
  <dimension ref="A1:F18"/>
  <sheetViews>
    <sheetView tabSelected="1" workbookViewId="0">
      <selection activeCell="K11" sqref="K11"/>
    </sheetView>
  </sheetViews>
  <sheetFormatPr defaultRowHeight="14.75" x14ac:dyDescent="0.75"/>
  <cols>
    <col min="1" max="1" width="10.2265625" customWidth="1"/>
  </cols>
  <sheetData>
    <row r="1" spans="1:6" x14ac:dyDescent="0.75">
      <c r="A1" t="s">
        <v>194</v>
      </c>
      <c r="B1" t="s">
        <v>239</v>
      </c>
      <c r="C1" t="s">
        <v>220</v>
      </c>
      <c r="D1" t="s">
        <v>219</v>
      </c>
      <c r="E1" t="s">
        <v>217</v>
      </c>
    </row>
    <row r="2" spans="1:6" x14ac:dyDescent="0.75">
      <c r="A2" t="s">
        <v>189</v>
      </c>
      <c r="B2">
        <f>'Einstein''s Theory'!C34</f>
        <v>12</v>
      </c>
      <c r="C2">
        <f>'Einstein''s Theory'!D34</f>
        <v>3</v>
      </c>
      <c r="D2">
        <f>'Einstein''s Theory'!E34</f>
        <v>9</v>
      </c>
      <c r="E2">
        <f>'Einstein''s Theory'!F34</f>
        <v>0</v>
      </c>
    </row>
    <row r="3" spans="1:6" x14ac:dyDescent="0.75">
      <c r="A3" t="s">
        <v>190</v>
      </c>
      <c r="B3">
        <f>Philosophy!C34</f>
        <v>3</v>
      </c>
      <c r="C3">
        <f>Philosophy!D34</f>
        <v>3</v>
      </c>
      <c r="D3">
        <f>Philosophy!E34</f>
        <v>10</v>
      </c>
      <c r="E3">
        <f>Philosophy!F34</f>
        <v>8</v>
      </c>
    </row>
    <row r="4" spans="1:6" x14ac:dyDescent="0.75">
      <c r="A4" t="s">
        <v>191</v>
      </c>
      <c r="B4">
        <f>'Conspiracy Theory'!C34</f>
        <v>12</v>
      </c>
      <c r="C4">
        <f>'Conspiracy Theory'!D34</f>
        <v>2</v>
      </c>
      <c r="D4">
        <f>'Conspiracy Theory'!E34</f>
        <v>5</v>
      </c>
      <c r="E4">
        <f>'Conspiracy Theory'!F34</f>
        <v>5</v>
      </c>
    </row>
    <row r="5" spans="1:6" x14ac:dyDescent="0.75">
      <c r="A5" t="s">
        <v>192</v>
      </c>
      <c r="B5">
        <f>'Ethernet cable'!C34</f>
        <v>11</v>
      </c>
      <c r="C5">
        <f>'Ethernet cable'!D34</f>
        <v>5</v>
      </c>
      <c r="D5">
        <f>'Ethernet cable'!E34</f>
        <v>5</v>
      </c>
      <c r="E5">
        <f>'Ethernet cable'!F34</f>
        <v>3</v>
      </c>
    </row>
    <row r="6" spans="1:6" x14ac:dyDescent="0.75">
      <c r="A6" t="s">
        <v>193</v>
      </c>
      <c r="B6">
        <f>'Work availability'!C34</f>
        <v>15</v>
      </c>
      <c r="C6">
        <f>'Work availability'!D34</f>
        <v>5</v>
      </c>
      <c r="D6">
        <f>'Work availability'!E34</f>
        <v>4</v>
      </c>
      <c r="E6">
        <f>'Work availability'!F34</f>
        <v>0</v>
      </c>
    </row>
    <row r="9" spans="1:6" x14ac:dyDescent="0.75">
      <c r="A9" t="s">
        <v>194</v>
      </c>
      <c r="B9" t="s">
        <v>239</v>
      </c>
      <c r="C9" t="s">
        <v>220</v>
      </c>
      <c r="D9" t="s">
        <v>219</v>
      </c>
      <c r="E9" t="s">
        <v>217</v>
      </c>
    </row>
    <row r="10" spans="1:6" x14ac:dyDescent="0.75">
      <c r="A10" t="s">
        <v>195</v>
      </c>
      <c r="B10">
        <f>SUM(Table6[PAR])</f>
        <v>53</v>
      </c>
      <c r="C10">
        <f>SUM(Table6[SIT])</f>
        <v>18</v>
      </c>
      <c r="D10">
        <f>SUM(Table6[INF])</f>
        <v>33</v>
      </c>
      <c r="E10">
        <f>SUM(Table6[EVA])</f>
        <v>16</v>
      </c>
    </row>
    <row r="13" spans="1:6" x14ac:dyDescent="0.75">
      <c r="A13" t="s">
        <v>194</v>
      </c>
      <c r="B13" t="s">
        <v>239</v>
      </c>
      <c r="C13" t="s">
        <v>220</v>
      </c>
      <c r="D13" t="s">
        <v>219</v>
      </c>
      <c r="E13" t="s">
        <v>217</v>
      </c>
      <c r="F13" t="s">
        <v>218</v>
      </c>
    </row>
    <row r="14" spans="1:6" x14ac:dyDescent="0.75">
      <c r="A14" t="s">
        <v>189</v>
      </c>
      <c r="B14" s="13">
        <f>B2/Table69[[#This Row],[total]]</f>
        <v>0.5</v>
      </c>
      <c r="C14" s="13">
        <f>C2/Table69[[#This Row],[total]]</f>
        <v>0.125</v>
      </c>
      <c r="D14" s="13">
        <f>D2/Table69[[#This Row],[total]]</f>
        <v>0.375</v>
      </c>
      <c r="E14" s="13">
        <f>E2/Table69[[#This Row],[total]]</f>
        <v>0</v>
      </c>
      <c r="F14">
        <f>SUM(B2:E2)</f>
        <v>24</v>
      </c>
    </row>
    <row r="15" spans="1:6" x14ac:dyDescent="0.75">
      <c r="A15" t="s">
        <v>190</v>
      </c>
      <c r="B15" s="13">
        <f>B3/Table69[[#This Row],[total]]</f>
        <v>0.125</v>
      </c>
      <c r="C15" s="13">
        <f>C3/Table69[[#This Row],[total]]</f>
        <v>0.125</v>
      </c>
      <c r="D15" s="13">
        <f>D3/Table69[[#This Row],[total]]</f>
        <v>0.41666666666666669</v>
      </c>
      <c r="E15" s="13">
        <f>E3/Table69[[#This Row],[total]]</f>
        <v>0.33333333333333331</v>
      </c>
      <c r="F15">
        <f t="shared" ref="F15:F18" si="0">SUM(B3:E3)</f>
        <v>24</v>
      </c>
    </row>
    <row r="16" spans="1:6" x14ac:dyDescent="0.75">
      <c r="A16" t="s">
        <v>191</v>
      </c>
      <c r="B16" s="13">
        <f>B4/Table69[[#This Row],[total]]</f>
        <v>0.5</v>
      </c>
      <c r="C16" s="13">
        <f>C4/Table69[[#This Row],[total]]</f>
        <v>8.3333333333333329E-2</v>
      </c>
      <c r="D16" s="13">
        <f>D4/Table69[[#This Row],[total]]</f>
        <v>0.20833333333333334</v>
      </c>
      <c r="E16" s="13">
        <f>E4/Table69[[#This Row],[total]]</f>
        <v>0.20833333333333334</v>
      </c>
      <c r="F16">
        <f t="shared" si="0"/>
        <v>24</v>
      </c>
    </row>
    <row r="17" spans="1:6" x14ac:dyDescent="0.75">
      <c r="A17" t="s">
        <v>192</v>
      </c>
      <c r="B17" s="13">
        <f>B5/Table69[[#This Row],[total]]</f>
        <v>0.45833333333333331</v>
      </c>
      <c r="C17" s="13">
        <f>C5/Table69[[#This Row],[total]]</f>
        <v>0.20833333333333334</v>
      </c>
      <c r="D17" s="13">
        <f>D5/Table69[[#This Row],[total]]</f>
        <v>0.20833333333333334</v>
      </c>
      <c r="E17" s="13">
        <f>E5/Table69[[#This Row],[total]]</f>
        <v>0.125</v>
      </c>
      <c r="F17">
        <f t="shared" si="0"/>
        <v>24</v>
      </c>
    </row>
    <row r="18" spans="1:6" x14ac:dyDescent="0.75">
      <c r="A18" t="s">
        <v>193</v>
      </c>
      <c r="B18" s="13">
        <f>B6/Table69[[#This Row],[total]]</f>
        <v>0.625</v>
      </c>
      <c r="C18" s="13">
        <f>C6/Table69[[#This Row],[total]]</f>
        <v>0.20833333333333334</v>
      </c>
      <c r="D18" s="13">
        <f>D6/Table69[[#This Row],[total]]</f>
        <v>0.16666666666666666</v>
      </c>
      <c r="E18" s="13">
        <f>E6/Table69[[#This Row],[total]]</f>
        <v>0</v>
      </c>
      <c r="F18">
        <f t="shared" si="0"/>
        <v>24</v>
      </c>
    </row>
  </sheetData>
  <pageMargins left="0.7" right="0.7" top="0.75" bottom="0.75" header="0.3" footer="0.3"/>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Sheet0</vt:lpstr>
      <vt:lpstr>Einstein's Theory</vt:lpstr>
      <vt:lpstr>Philosophy</vt:lpstr>
      <vt:lpstr>Conspiracy Theory</vt:lpstr>
      <vt:lpstr>Ethernet cable</vt:lpstr>
      <vt:lpstr>Work availability</vt:lpstr>
      <vt:lpstr>summary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Nina Haket</cp:lastModifiedBy>
  <dcterms:created xsi:type="dcterms:W3CDTF">2024-12-11T12:21:28Z</dcterms:created>
  <dcterms:modified xsi:type="dcterms:W3CDTF">2025-11-05T17:06:23Z</dcterms:modified>
</cp:coreProperties>
</file>