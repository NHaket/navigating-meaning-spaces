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7. Empirical Propositions/Chapter 7/analysis/"/>
    </mc:Choice>
  </mc:AlternateContent>
  <xr:revisionPtr revIDLastSave="979" documentId="11_F267E8DB2E56928A66BA0B480DC418700F2681E9" xr6:coauthVersionLast="47" xr6:coauthVersionMax="47" xr10:uidLastSave="{86114ECF-214A-4EEE-9B07-3F5BF1E9210C}"/>
  <bookViews>
    <workbookView xWindow="-90" yWindow="-90" windowWidth="19380" windowHeight="10260" firstSheet="3" activeTab="6" xr2:uid="{00000000-000D-0000-FFFF-FFFF00000000}"/>
  </bookViews>
  <sheets>
    <sheet name="Sheet0" sheetId="1" r:id="rId1"/>
    <sheet name="System Screwed them over" sheetId="2" r:id="rId2"/>
    <sheet name="build more prisons " sheetId="3" r:id="rId3"/>
    <sheet name="shock to the system" sheetId="4" r:id="rId4"/>
    <sheet name="measure people skills" sheetId="5" r:id="rId5"/>
    <sheet name="New motorbike system" sheetId="6" r:id="rId6"/>
    <sheet name="Summary" sheetId="7" r:id="rId7"/>
  </sheets>
  <definedNames>
    <definedName name="_xlnm._FilterDatabase" localSheetId="0" hidden="1">Sheet0!$A$2:$I$272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2" l="1"/>
  <c r="E2" i="7" s="1"/>
  <c r="F34" i="6"/>
  <c r="E6" i="7" s="1"/>
  <c r="E34" i="6"/>
  <c r="D6" i="7" s="1"/>
  <c r="D34" i="6"/>
  <c r="C6" i="7" s="1"/>
  <c r="C34" i="6"/>
  <c r="B6" i="7" s="1"/>
  <c r="F34" i="5"/>
  <c r="E5" i="7" s="1"/>
  <c r="E34" i="5"/>
  <c r="D5" i="7" s="1"/>
  <c r="D34" i="5"/>
  <c r="C5" i="7" s="1"/>
  <c r="C34" i="5"/>
  <c r="B5" i="7" s="1"/>
  <c r="E34" i="4"/>
  <c r="E4" i="7" s="1"/>
  <c r="D34" i="4"/>
  <c r="D4" i="7" s="1"/>
  <c r="C34" i="4"/>
  <c r="C4" i="7" s="1"/>
  <c r="B34" i="4"/>
  <c r="B4" i="7" s="1"/>
  <c r="E34" i="3"/>
  <c r="E3" i="7" s="1"/>
  <c r="D34" i="3"/>
  <c r="D3" i="7" s="1"/>
  <c r="C34" i="3"/>
  <c r="C3" i="7" s="1"/>
  <c r="B34" i="3"/>
  <c r="B3" i="7" s="1"/>
  <c r="D34" i="2"/>
  <c r="D2" i="7" s="1"/>
  <c r="C34" i="2"/>
  <c r="C2" i="7" s="1"/>
  <c r="B34" i="2"/>
  <c r="B2" i="7" s="1"/>
  <c r="G34" i="6" l="1"/>
  <c r="G34" i="5"/>
  <c r="F34" i="4"/>
  <c r="F34" i="3"/>
  <c r="F34" i="2"/>
  <c r="F16" i="7"/>
  <c r="E16" i="7" s="1"/>
  <c r="F15" i="7"/>
  <c r="B15" i="7" s="1"/>
  <c r="F14" i="7"/>
  <c r="E9" i="7"/>
  <c r="F13" i="7"/>
  <c r="F12" i="7"/>
  <c r="B12" i="7" s="1"/>
  <c r="D9" i="7"/>
  <c r="C9" i="7"/>
  <c r="C16" i="7" l="1"/>
  <c r="B16" i="7"/>
  <c r="D16" i="7"/>
  <c r="E15" i="7"/>
  <c r="D15" i="7"/>
  <c r="C15" i="7"/>
  <c r="C14" i="7"/>
  <c r="E14" i="7"/>
  <c r="D14" i="7"/>
  <c r="B14" i="7"/>
  <c r="D13" i="7"/>
  <c r="E13" i="7"/>
  <c r="C13" i="7"/>
  <c r="B13" i="7"/>
  <c r="E12" i="7"/>
  <c r="C12" i="7"/>
  <c r="D12" i="7"/>
  <c r="B9" i="7"/>
</calcChain>
</file>

<file path=xl/sharedStrings.xml><?xml version="1.0" encoding="utf-8"?>
<sst xmlns="http://schemas.openxmlformats.org/spreadsheetml/2006/main" count="2771" uniqueCount="539">
  <si>
    <t>PROLIFIC_PID</t>
  </si>
  <si>
    <t>Q4</t>
  </si>
  <si>
    <t>Q5</t>
  </si>
  <si>
    <t>Q15</t>
  </si>
  <si>
    <t>QID18</t>
  </si>
  <si>
    <t>QID72</t>
  </si>
  <si>
    <t>QID62</t>
  </si>
  <si>
    <t>QID53</t>
  </si>
  <si>
    <t>QID43</t>
  </si>
  <si>
    <t>What is your age?</t>
  </si>
  <si>
    <t>What is your highest level of education?</t>
  </si>
  <si>
    <t>Please select the domain that best describes your current occupation:</t>
  </si>
  <si>
    <t>Petra and Ana are discussing politics:
Petra: They all sort of group together.
Ana: The workers.
Petra: Yeah, yeah. No, it was more than that because, like, it was just people felt run down.
Ana: Yeah.
Petra: They felt like that as though the system had screwed them over.
Ana: That's fair enough, yeah. That's cool, yeah.
Petra: Sort of like, that's why they blew up the credit card companies.
Ana: Oh, yeah, yeah.
Petra: Cos they were sick of er...
Ana: When he tried to blow those up.
Petra: Yeah, yeah, yeah. I guess it is revolution-style.
What do you think is conveyed by Petra in the underlined text?</t>
  </si>
  <si>
    <t>Maddie and Charlie are discussing crime and punishment:
Maddie: I'm thinking there must be an alternative to slapping someone behind bars.
Charlie: Mm.
Maddie: Because the rate at which inmates are going into prison is far higher than the rate of releases, so.
Charlie: Yes, and the reoffending rate is.
Maddie: Is really high.
Charlie: Very, very high.
Maddie: Yes, so it doesn't take a rocket scientist to work out that unless we build more prisons this whole system is gonna crumble.
Charlie: Yeah.
Maddie: It's gonna, it's gonna, everything is going to come to a head.
What do you think is conveyed by Maddie in the underlined text?</t>
  </si>
  <si>
    <t>Madeline and Katy are discussing the weather:
Madeline: Don't know. Anyway, it's going to be hot, hot, hot.
Katy: Yeah.
Madeline: And I'm going to be wearing more clothes.
Katy: Yeah, well that's going to be a bit of a shock to the system, isn't it?
Madeline: But hopefully breezy. We're going to have to try on all our work clothes.
Katy: Yeah. Gonna have to get used to going from air con to outside.
What do you think is conveyed by Katy in the underlined text?</t>
  </si>
  <si>
    <t>Tanya and Max are discussing job skills:
Tanya: For a lot of professions you need to be good at dealing with people.
Max: You've gotta be-
Tanya: But all our exams are about intellect and nothing to do with people.
Max: Yes, that's right.
Tanya: Cos we've never come up with a good system for measuring your capability with people.
Max: No.
Tanya: And a lot of jobs you need to be able to communicate, don't you?
Max: If you're in charge of a firm of any description you've gotta be able to get on well with people, otherwise you're in trouble.
What do you think is conveyed by Tanya in the underlined text?</t>
  </si>
  <si>
    <t>Abbie and Xander are discussing motorbikes:
Abbie: There's this company who bought out the old Triumph.
Xander: Yeah.
Abbie: And sort of started off just making replacement parts and stuff like that.
Xander: Yeah.
Abbie: And then sort of slowly had one bike and then got some money from somewhere and redesigned the whole system.
Xander: Yeah.
Abbie: But they worked out the principle that they would make twins. I don't think they ma- no they don't make a single, they make twins, a triple, and a four-cylinder bike, you know, with different engines.
Xander: Yeah.
Abbie: You know these three different engines but nearly all the parts were interchangeable, like the pistons and the rods.
What do you think is conveyed by Abbie in the underlined text?</t>
  </si>
  <si>
    <t>5a25a9a3b51f2c0001e5d9ed</t>
  </si>
  <si>
    <t>45 - 54</t>
  </si>
  <si>
    <t>Master’s Degree (e.g. MA. MSc)</t>
  </si>
  <si>
    <t>Sales and Marketing</t>
  </si>
  <si>
    <t/>
  </si>
  <si>
    <t>5c56159a9194d30001a4c498</t>
  </si>
  <si>
    <t>25 - 34</t>
  </si>
  <si>
    <t>GCSE/O-level</t>
  </si>
  <si>
    <t>Finance and Banking</t>
  </si>
  <si>
    <t>Prisons are overcrowded and the system will collapse soon.</t>
  </si>
  <si>
    <t>5cbb3393114fa50001ac523f</t>
  </si>
  <si>
    <t>35 - 44</t>
  </si>
  <si>
    <t>Bachelors Degree (e.g BA, BSc)</t>
  </si>
  <si>
    <t>Unemployed</t>
  </si>
  <si>
    <t>665d81612779f576bd35047e</t>
  </si>
  <si>
    <t>Vocational Qualifications (e.g. NVQs, BTEC)</t>
  </si>
  <si>
    <t>Information Technology and Software Development</t>
  </si>
  <si>
    <t>5c345ebad4f77a0001a91ec0</t>
  </si>
  <si>
    <t>55 - 64</t>
  </si>
  <si>
    <t>Higher National Certificate/higher National Diploma</t>
  </si>
  <si>
    <t>63ed0d717ceb58b69ff6ce58</t>
  </si>
  <si>
    <t>Engineering and Manufacturing</t>
  </si>
  <si>
    <t>5ad3bcc05b53cb0001f3581c</t>
  </si>
  <si>
    <t>Nonprofit and Social Services</t>
  </si>
  <si>
    <t xml:space="preserve">She is really interested in the topic but has not noticed xander is not interested </t>
  </si>
  <si>
    <t>5f1beeacb55680420cfcae9e</t>
  </si>
  <si>
    <t xml:space="preserve">Kstybisvused to bring psrtosllt clothed or lifhtkt ck9thed as it has been warm </t>
  </si>
  <si>
    <t>64135a5db4a0ab6ceb843e64</t>
  </si>
  <si>
    <t>A-levels/Highers</t>
  </si>
  <si>
    <t>5ee3be6ff942c407cd54e6ce</t>
  </si>
  <si>
    <t>Retired</t>
  </si>
  <si>
    <t>5d404c6a584cc80017e81001</t>
  </si>
  <si>
    <t>People thought that the powers that be/ the government had let them down badly.</t>
  </si>
  <si>
    <t>63039343fd5a2e6fb88d2c61</t>
  </si>
  <si>
    <t>Retail and Customer Service</t>
  </si>
  <si>
    <t>Maddie thinks we need a new way to deal with offenders other than prison.</t>
  </si>
  <si>
    <t>5a455b091950a80001e7c49a</t>
  </si>
  <si>
    <t>Law and Legal Services</t>
  </si>
  <si>
    <t xml:space="preserve">That wearing more clothes because of the work uniform will take some getting used to as they are most likely used to wearing whats comfortable </t>
  </si>
  <si>
    <t>5b3648e7f726b2000192b3f4</t>
  </si>
  <si>
    <t>Education and Training</t>
  </si>
  <si>
    <t>60ddcc052137212419247c3c</t>
  </si>
  <si>
    <t>There has never been a system invented that measures someone's people skills</t>
  </si>
  <si>
    <t>5e94acdc3d1b5780b00d12ff</t>
  </si>
  <si>
    <t>Healthcare and Medicine</t>
  </si>
  <si>
    <t>6346c4b13753efab830182aa</t>
  </si>
  <si>
    <t>Consulting and Business Services</t>
  </si>
  <si>
    <t>that more prisons are needed to be built</t>
  </si>
  <si>
    <t>62d133c506e7167dd2b29652</t>
  </si>
  <si>
    <t>Government and Public Administration</t>
  </si>
  <si>
    <t>petra is saying that employees feel like they have been exploited by the system implemented by the government</t>
  </si>
  <si>
    <t>6658ddf98f1ee667f426458f</t>
  </si>
  <si>
    <t>Im struggling to make sense of this one. I feel petra is angry. But maybe she doesnt quite fully understand what she is talking about.</t>
  </si>
  <si>
    <t>6124112341a3ec8fdf0f4886</t>
  </si>
  <si>
    <t>5b914e471c4a9b0001d2b9df</t>
  </si>
  <si>
    <t>60fd46f4d7e9142ecae97701</t>
  </si>
  <si>
    <t>That the amount of people going to prison is putting strain on the prison service, and that more prisons are required to house the number of people being convicted</t>
  </si>
  <si>
    <t>5599dbe6fdf99b4a3c5bc628</t>
  </si>
  <si>
    <t>665f567da83b58036682b894</t>
  </si>
  <si>
    <t>5ecbe220d068807a5425c4de</t>
  </si>
  <si>
    <t>5f2afec0781f2848ac688140</t>
  </si>
  <si>
    <t>5ffb432901d8311622530a52</t>
  </si>
  <si>
    <t>5b086831a6f07e00018b8f08</t>
  </si>
  <si>
    <t>5b99238d30357200010c9ddc</t>
  </si>
  <si>
    <t>Arts and Humanities</t>
  </si>
  <si>
    <t>updated the look of the bike</t>
  </si>
  <si>
    <t>6668621f3facbbc4d81945ce</t>
  </si>
  <si>
    <t>more prisons required rather than tackle the cause of the issue</t>
  </si>
  <si>
    <t>5efda9898d99db1ffd211946</t>
  </si>
  <si>
    <t xml:space="preserve">That exams aren’t everything. Even if you have the highest grades, it doesn’t mean you will automatically do well in a workplace. There’s more factors to consider than their academic achievement. </t>
  </si>
  <si>
    <t>6714b6ad76097533a378e7d3</t>
  </si>
  <si>
    <t>Construction and Skilled Trades</t>
  </si>
  <si>
    <t>The system is corrupt and used against you.</t>
  </si>
  <si>
    <t>586a26807fbbcd00013974f1</t>
  </si>
  <si>
    <t>6066d08253019ea549b1dd37</t>
  </si>
  <si>
    <t>That the fact that Madeline is going. To be wearing more clothes is going to be unusual and not what she has been used to</t>
  </si>
  <si>
    <t>665878a26c1a7b4d33dcfeb4</t>
  </si>
  <si>
    <t>616829767ddec9e42886501d</t>
  </si>
  <si>
    <t>62e16099ec12fdc57a0cf63a</t>
  </si>
  <si>
    <t>62bcc530c8492b5c9e448f74</t>
  </si>
  <si>
    <t>65 - 74</t>
  </si>
  <si>
    <t>Transportation and Logistics</t>
  </si>
  <si>
    <t xml:space="preserve">That the system is broken </t>
  </si>
  <si>
    <t>5dd6c8061e70da65e1ccd029</t>
  </si>
  <si>
    <t>they are going to be working in a climate that they're not used to</t>
  </si>
  <si>
    <t>665991c234807918069ab5ee</t>
  </si>
  <si>
    <t>18 - 24</t>
  </si>
  <si>
    <t xml:space="preserve">she’s sympathising with a group of people </t>
  </si>
  <si>
    <t>5bc5f36b8d83e10001724601</t>
  </si>
  <si>
    <t>that it is going to be different to what her system is used to at the moment</t>
  </si>
  <si>
    <t>63b80a8b220f924d975670bc</t>
  </si>
  <si>
    <t>changed the company</t>
  </si>
  <si>
    <t>5c7809d56b48600015a573f6</t>
  </si>
  <si>
    <t>672d1370db63b1b5df7e6f9c</t>
  </si>
  <si>
    <t xml:space="preserve">That we need more prisons as the system is overcrowded at the moment </t>
  </si>
  <si>
    <t>5c5a98c42032f30001ba94fd</t>
  </si>
  <si>
    <t>665b6790237422754accc521</t>
  </si>
  <si>
    <t>5c62de3f48fe4e000180e09d</t>
  </si>
  <si>
    <t>Media  and Entertainment</t>
  </si>
  <si>
    <t>616deadcefd7197b84ab677c</t>
  </si>
  <si>
    <t>5c6136402100f70001a3e364</t>
  </si>
  <si>
    <t>frustration that technology hasn't achiveved sophistication</t>
  </si>
  <si>
    <t>601792fcea0a0b2e89e93ab1</t>
  </si>
  <si>
    <t>5ed1566237d27008e6239275</t>
  </si>
  <si>
    <t>6310be90282759abb2029889</t>
  </si>
  <si>
    <t>Secondary School/No formal qualifications</t>
  </si>
  <si>
    <t>I really don’t know</t>
  </si>
  <si>
    <t>58bf2cf0d294c100010181fa</t>
  </si>
  <si>
    <t>The company got a loan or a grant or some funding which enabled them to upscale their work</t>
  </si>
  <si>
    <t>63d9a2f4809dc6997a950a35</t>
  </si>
  <si>
    <t>Energy and Utilities</t>
  </si>
  <si>
    <t>66dbfe93360f8fc738858ee3</t>
  </si>
  <si>
    <t>62b5db48089258eeb74f68d2</t>
  </si>
  <si>
    <t>that therer is not enough prisons to house teh rising nuber of criminals and reoffendners</t>
  </si>
  <si>
    <t>5be6ef463b047e0001a38a8a</t>
  </si>
  <si>
    <t>Shortcomings in the educational institutions.</t>
  </si>
  <si>
    <t>62f387004495cb4ed30d1d21</t>
  </si>
  <si>
    <t>75 - 84</t>
  </si>
  <si>
    <t>5efcc0d6ae9c480b8534642f</t>
  </si>
  <si>
    <t>Student</t>
  </si>
  <si>
    <t>661d1672f01169fe41f1f001</t>
  </si>
  <si>
    <t>madeline doesnt wear clothes often</t>
  </si>
  <si>
    <t>61487c75525ef8d1a1e83d92</t>
  </si>
  <si>
    <t xml:space="preserve">That she isn't happy with max but saying that she could of come up with a better system </t>
  </si>
  <si>
    <t>5f21294e789a0649b25eff23</t>
  </si>
  <si>
    <t>That her system is used to a colder temp and due to the extra clothes they have to wear for there job theybare going to get very hot which is going to shick there system as they r not used to heat</t>
  </si>
  <si>
    <t>60fbe88ccc3cd592b9f09ec9</t>
  </si>
  <si>
    <t>59f61332da08940001d4e873</t>
  </si>
  <si>
    <t xml:space="preserve">Tanya is saying that school exams only test your intellectual capabilities and not your social and people skills. She seems to be suggesting that testing is inadequate. </t>
  </si>
  <si>
    <t>6654847971e9e4d8aa4321eb</t>
  </si>
  <si>
    <t>She is saying it’s going to be hot</t>
  </si>
  <si>
    <t>5b94df0a1aea7c00010a9668</t>
  </si>
  <si>
    <t>They got investment from some one/companies and redesigned the engine</t>
  </si>
  <si>
    <t>5b15821c1e55760001ba20d0</t>
  </si>
  <si>
    <t>5f9d7eeb84865f2b08967f4a</t>
  </si>
  <si>
    <t>Going against what is expected by wearing more clothes will be hard for Madeline's body to deal with.</t>
  </si>
  <si>
    <t>669286dc2cc177d36dcdef04</t>
  </si>
  <si>
    <t>5b2dde1da8327d0001ffbcc2</t>
  </si>
  <si>
    <t>There are insufficient prison places</t>
  </si>
  <si>
    <t>66718e0e5adb631892039d1a</t>
  </si>
  <si>
    <t>665f15bd40f2986ef89e898f</t>
  </si>
  <si>
    <t>That he redesigned the bike</t>
  </si>
  <si>
    <t>5d1c1d0b3c401300176be3df</t>
  </si>
  <si>
    <t>59883aa871fb500001aaa085</t>
  </si>
  <si>
    <t>64136650748e4e17c18e1900</t>
  </si>
  <si>
    <t>Tanya conveys a critique of current evaluation systems, highlighting their inability to assess interpersonal skills effectively. She points out a significant gap in how skills are evaluated, suggesting that while interpersonal abilities are crucial for many professions, existing methods focus disproportionately on intellectual abilities. This reflects her view that the system overlooks an essential aspect of professional competency.</t>
  </si>
  <si>
    <t>60ddc6aec62acf697f640c14</t>
  </si>
  <si>
    <t>67530381deef0e65b35d98d7</t>
  </si>
  <si>
    <t>5ea4115637284839f59110e1</t>
  </si>
  <si>
    <t>60d0de75282711f66dce1d3c</t>
  </si>
  <si>
    <t>The country need to build more prisons to avoid them filling up and having to leave criminals on the street</t>
  </si>
  <si>
    <t>66621e083b8f136c93a4e7b5</t>
  </si>
  <si>
    <t>she was trying to explain how they felt</t>
  </si>
  <si>
    <t>6101b7f5e090ead193cc3942</t>
  </si>
  <si>
    <t xml:space="preserve">A group of people felt systematically oppressed and angry </t>
  </si>
  <si>
    <t>66704499b0a160f0cd760c04</t>
  </si>
  <si>
    <t>People feel that they are in hardship that is not their fault but a result of the way society is structured</t>
  </si>
  <si>
    <t>66c59cf5c80a7a9b12dffa03</t>
  </si>
  <si>
    <t>that the weather is going to change dramaticaly</t>
  </si>
  <si>
    <t>6662bbd11599452943304086</t>
  </si>
  <si>
    <t>5f933255e25f2b0e6f794a54</t>
  </si>
  <si>
    <t xml:space="preserve">the termperature is going to be a shock </t>
  </si>
  <si>
    <t>6090f952525df6a9a07b6921</t>
  </si>
  <si>
    <t xml:space="preserve">That people have trouble communicating </t>
  </si>
  <si>
    <t>665cc3df1329066906fba1ad</t>
  </si>
  <si>
    <t>65cb781b800d57cbac8021d3</t>
  </si>
  <si>
    <t>6301185b6013d0487dcd3873</t>
  </si>
  <si>
    <t>67475527b6426feae49716e0</t>
  </si>
  <si>
    <t>65ccc7e766127e24c9e313a2</t>
  </si>
  <si>
    <t>6512ae672f906eda39b7e9db</t>
  </si>
  <si>
    <t>5dd59a3786411b56310c1b71</t>
  </si>
  <si>
    <t>Science and Research</t>
  </si>
  <si>
    <t>6085a4cc5f5f9ba1a3bfd785</t>
  </si>
  <si>
    <t>Abbie seems to be showing that she found money unexpectedly and used it to redo the whole system.</t>
  </si>
  <si>
    <t>63f79c4cffb2e2a2ed84f060</t>
  </si>
  <si>
    <t>we need to build more prisons quickly</t>
  </si>
  <si>
    <t>6659a14795caa73284e7dff4</t>
  </si>
  <si>
    <t>That wearing excess clothes in high heat is going to be uncomfortable</t>
  </si>
  <si>
    <t>5eeb32c541b66f01379faff7</t>
  </si>
  <si>
    <t>63469da3cef76cc5b3523b97</t>
  </si>
  <si>
    <t>62b3491fc3790d748d09dc12</t>
  </si>
  <si>
    <t>People was down because they didn’t get thier own way</t>
  </si>
  <si>
    <t>5b29ed150ec82d0001d26cf8</t>
  </si>
  <si>
    <t>659d549e063162467e0f3f2d</t>
  </si>
  <si>
    <t>The difference in temperature may affect the body.</t>
  </si>
  <si>
    <t>66967073cb094a7cac299bab</t>
  </si>
  <si>
    <t xml:space="preserve">That generally a system has not been invented that measures how well you deal with people </t>
  </si>
  <si>
    <t>66e2891246b64bc2c52650b0</t>
  </si>
  <si>
    <t>Worry</t>
  </si>
  <si>
    <t>60335e8ea6fada418de4efc8</t>
  </si>
  <si>
    <t>Maddie is conveying that we need to build more prisons as the justice system will fall apart in future</t>
  </si>
  <si>
    <t>672e1dfdd48b35637edd7a58</t>
  </si>
  <si>
    <t>5d06743eac143b000118ce79</t>
  </si>
  <si>
    <t>prisons are getting full</t>
  </si>
  <si>
    <t>6692b434261ded863ece5284</t>
  </si>
  <si>
    <t>66b3721938038a436855512a</t>
  </si>
  <si>
    <t>Madeline doesn’t wear a lot of clothes.</t>
  </si>
  <si>
    <t>5de6cfc6b5bed765473c624b</t>
  </si>
  <si>
    <t>They had investment into the company and changed the business model</t>
  </si>
  <si>
    <t>5dcc836b6a24b5912d7c33f4</t>
  </si>
  <si>
    <t>6757232b320eff279b48401d</t>
  </si>
  <si>
    <t>She's highlighting the fact that the prison system is flawed and by using the word crumble, her opinion shows that its just not going to be sustainable and there will be repercussions down the line</t>
  </si>
  <si>
    <t>6665a79f0eeff61b028c3c96</t>
  </si>
  <si>
    <t>Funding was from an unkown source and the whole engine system was redesigned</t>
  </si>
  <si>
    <t>571f8f1c936f5f0011c62cda</t>
  </si>
  <si>
    <t>5d48c3371bf808001c396355</t>
  </si>
  <si>
    <t>61137cd8a078af59177b4303</t>
  </si>
  <si>
    <t>that coping in the heat wearing more clothes will be hard</t>
  </si>
  <si>
    <t>66a26ec8e06c42e507e61af0</t>
  </si>
  <si>
    <t>Dodgy money</t>
  </si>
  <si>
    <t>6724aa8a3ee9b745294b5b50</t>
  </si>
  <si>
    <t>The system seems to be out for everyone.</t>
  </si>
  <si>
    <t>5623d483ed6e5a0005c803de</t>
  </si>
  <si>
    <t>This company became successful and changed its product offering.</t>
  </si>
  <si>
    <t>6723bed03732dfba5e7fb43e</t>
  </si>
  <si>
    <t>664f3eb579003f55b717e215</t>
  </si>
  <si>
    <t xml:space="preserve">Madeline usually wears little clothing </t>
  </si>
  <si>
    <t>60fae066c4ab91522a85f075</t>
  </si>
  <si>
    <t>Hospitality and Tourism</t>
  </si>
  <si>
    <t>There is not a system to measure peoples capability with people</t>
  </si>
  <si>
    <t>65e5d4110e8e36120bd56551</t>
  </si>
  <si>
    <t>62ac24c9af89f1f28aea1d11</t>
  </si>
  <si>
    <t>5707c536374137000ebbbc46</t>
  </si>
  <si>
    <t>There is no good way of measuring capability with people</t>
  </si>
  <si>
    <t>60d32c69d6447ad868ec4c62</t>
  </si>
  <si>
    <t>5ba88ccbdd59150001381091</t>
  </si>
  <si>
    <t>597aab70fd9fe50001166ba0</t>
  </si>
  <si>
    <t>5e553a62ea1449011a8b4a9a</t>
  </si>
  <si>
    <t>5ab65c67f69e940001d8e06c</t>
  </si>
  <si>
    <t>There are too many prisoners and not enough prisons to house them</t>
  </si>
  <si>
    <t>605562b516e3cf830c62a216</t>
  </si>
  <si>
    <t>659c01027a942e6d4d2bd6a4</t>
  </si>
  <si>
    <t xml:space="preserve">that the company expanded and branched out </t>
  </si>
  <si>
    <t>6740ee10a652813fd0d39c4a</t>
  </si>
  <si>
    <t xml:space="preserve">Without reform for offenders places in prisons will become lesser available and so we need more spaces. </t>
  </si>
  <si>
    <t>63d1991a59aef0f7e6dbd731</t>
  </si>
  <si>
    <t>6663e96b22437338474611a4</t>
  </si>
  <si>
    <t>5aa69552f053610001726fd2</t>
  </si>
  <si>
    <t>6603fe5de4e375dcc80e521d</t>
  </si>
  <si>
    <t>The company suddenly had more money and then they were able to make changes.</t>
  </si>
  <si>
    <t>65c24905e92f4ded01829688</t>
  </si>
  <si>
    <t xml:space="preserve">She is trying to explain public opinion about credit card companies and systems. </t>
  </si>
  <si>
    <t>62b081da1ae599a80e82f9c0</t>
  </si>
  <si>
    <t xml:space="preserve">School doesn't teach some necessary skills </t>
  </si>
  <si>
    <t>5d66f49c531d6e0001e99e8a</t>
  </si>
  <si>
    <t xml:space="preserve">Abbie is just talking about how this company redesigned the system. I think when she says “they got some money from somewhere” she could have a hint of suspicion, like they got a lot of money but she doesn’t know why. </t>
  </si>
  <si>
    <t>67051f78d7085dde0a0833ad</t>
  </si>
  <si>
    <t>58c508c1b101a700012938fa</t>
  </si>
  <si>
    <t>5d8b8137604bb000150db6d9</t>
  </si>
  <si>
    <t>That action needs to be taken to stop re offenders going back into prison or punish people in alternative ways</t>
  </si>
  <si>
    <t>5e7d1c1e70dd753a081a29d9</t>
  </si>
  <si>
    <t>its hard to measure people's people skills and how they interact with people, job applications or schools system lack developing those</t>
  </si>
  <si>
    <t>66f12a349a397c3d117d288e</t>
  </si>
  <si>
    <t xml:space="preserve">Socialism or Marxism </t>
  </si>
  <si>
    <t>66f817dd05204c9d98fea694</t>
  </si>
  <si>
    <t>They received funding externally and were able to redesign the entire system</t>
  </si>
  <si>
    <t>6266bb8a00f77695fea1ecb0</t>
  </si>
  <si>
    <t>5dd589a57160cb53e892fa75</t>
  </si>
  <si>
    <t>There's no sensible way of measuring someone's interpersonal skills</t>
  </si>
  <si>
    <t>5f566fd36e11c10920e15ca8</t>
  </si>
  <si>
    <t xml:space="preserve">Madeleine doesnt usually wear a lot of clothes </t>
  </si>
  <si>
    <t>5aaecfdb09b55b00015ea70a</t>
  </si>
  <si>
    <t>63d5decffe6025fec6a381b0</t>
  </si>
  <si>
    <t>that it is unable to do a proper test to see how people capable they are</t>
  </si>
  <si>
    <t>627a76b96bea55210aecbba9</t>
  </si>
  <si>
    <t xml:space="preserve">People are feeling angry at working conditions </t>
  </si>
  <si>
    <t>6608019171ccdaeeb6220d59</t>
  </si>
  <si>
    <t>petra is saying the workers felt like the system had screwed them over</t>
  </si>
  <si>
    <t>602e88f43a3b7aa44bf522e6</t>
  </si>
  <si>
    <t>Agriculture and Environmental Services</t>
  </si>
  <si>
    <t>639844d5b2757a6f6377a69b</t>
  </si>
  <si>
    <t>59ce3501a5bbdd0001bf45e2</t>
  </si>
  <si>
    <t>5f2b0ce8a305a14b3865b39d</t>
  </si>
  <si>
    <t xml:space="preserve">They felt hard done by </t>
  </si>
  <si>
    <t>66707ac83c3cc2f0ba74770f</t>
  </si>
  <si>
    <t>5d51ad87e02e5500182bb86e</t>
  </si>
  <si>
    <t>5dccf219aa4314964f7461d9</t>
  </si>
  <si>
    <t>66882a15353eca2a54556b06</t>
  </si>
  <si>
    <t>building prisons is essentiel to the survival of this crime system and the society</t>
  </si>
  <si>
    <t>5d1a69d8f97a18001977e0d7</t>
  </si>
  <si>
    <t>5e4d40e2d3132c1907e80312</t>
  </si>
  <si>
    <t>5cfbf333ac28dd00196e807b</t>
  </si>
  <si>
    <t>663a596d655d46133d9107a0</t>
  </si>
  <si>
    <t>5eea8c81e1959f14a3999921</t>
  </si>
  <si>
    <t>643fea27139e462ddf18bf9d</t>
  </si>
  <si>
    <t>5c4e5f2ae5f00f0001542748</t>
  </si>
  <si>
    <t>that the system had screwed a group of people</t>
  </si>
  <si>
    <t>64402288403028bd9abd98a7</t>
  </si>
  <si>
    <t>Maddie wants more prisons built to cope with the overcrowding of prisons.</t>
  </si>
  <si>
    <t>6658cc258f1ee667f4264111</t>
  </si>
  <si>
    <t>that the system had screwed them over</t>
  </si>
  <si>
    <t>674ca2f2b42dd96dc2f71707</t>
  </si>
  <si>
    <t>that the company received an injection of money and were able to use it to improve their business</t>
  </si>
  <si>
    <t>5e56ac24ce30ae0632e2fe0a</t>
  </si>
  <si>
    <t>5e7fa0e918b10804bb87eb63</t>
  </si>
  <si>
    <t>Tanya is saying that personality is key in a job and it is something you can't measure by exams etc</t>
  </si>
  <si>
    <t>5fc7977f990ff909859b4b77</t>
  </si>
  <si>
    <t>no idea</t>
  </si>
  <si>
    <t>5afc2d1f2406810001d625c0</t>
  </si>
  <si>
    <t>Doctorate (e.g. PhD, EdD)</t>
  </si>
  <si>
    <t>672942471665b053c5cd5c0f</t>
  </si>
  <si>
    <t>673745ab87e3f72c1d75500e</t>
  </si>
  <si>
    <t>5deb9c5a4de9422935efe5e7</t>
  </si>
  <si>
    <t>exams dont train people to interact well with others</t>
  </si>
  <si>
    <t>62e41888387197b61ec6eb6f</t>
  </si>
  <si>
    <t>667a824dc0484cd9a04559b7</t>
  </si>
  <si>
    <t>596d1cdfe81bf30001fe0533</t>
  </si>
  <si>
    <t>People felt let down and betrayed by institutions such as large companies.</t>
  </si>
  <si>
    <t>6659f66b8b6bbc2b0d3396db</t>
  </si>
  <si>
    <t>623499a77513562aee77cd47</t>
  </si>
  <si>
    <t>663a3ee80ab62f61353a10f0</t>
  </si>
  <si>
    <t>669644b94d5073adf1f9f941</t>
  </si>
  <si>
    <t>The fact that the weather is going to be lot different than currently and so will be a shock to the body!</t>
  </si>
  <si>
    <t>6442955a36b638cd94d504ff</t>
  </si>
  <si>
    <t>More prisons are needed or else the system will stop working</t>
  </si>
  <si>
    <t>64b53cb9f438ca54a2ca5065</t>
  </si>
  <si>
    <t>That people's ability for good communication has not generally been measured because there is not a good system to measure this.</t>
  </si>
  <si>
    <t>663cbfdd6b17aed7d28aacef</t>
  </si>
  <si>
    <t>5ca8eaf9bd0f9e0001c7d7fa</t>
  </si>
  <si>
    <t>637f61f07d43cd7252233f7a</t>
  </si>
  <si>
    <t>That she think education should include more people skills training</t>
  </si>
  <si>
    <t>5ce2ab821497a8001a8467c1</t>
  </si>
  <si>
    <t>6160b7d85ad795c43cbd9530</t>
  </si>
  <si>
    <t>Empathy with people who felt marginalised</t>
  </si>
  <si>
    <t>55ed96367480920010aaaa58</t>
  </si>
  <si>
    <t>Foundation Degree</t>
  </si>
  <si>
    <t>652407a8c2b97cf1ff074453</t>
  </si>
  <si>
    <t>That a company has worked out how to design a new system for an old model of a Triumph motorbike which makes it easier to design different versions of the bike with interchangeable parts.</t>
  </si>
  <si>
    <t>5f6e28833e0a7531b11c718c</t>
  </si>
  <si>
    <t>5e7c8696aaaa890009345427</t>
  </si>
  <si>
    <t>5cae5f9c48514600183d8fac</t>
  </si>
  <si>
    <t>55ed5e8b748092000aaa9909</t>
  </si>
  <si>
    <t>That a company got money from somewhere and redesigned the whole system</t>
  </si>
  <si>
    <t>6142013d4dd8ae5ca2b4329b</t>
  </si>
  <si>
    <t>62a724222daaef200490b142</t>
  </si>
  <si>
    <t>5b2a2d855b5c0900018b0bf5</t>
  </si>
  <si>
    <t>671a5b8dfc53e73310491a62</t>
  </si>
  <si>
    <t>The company has money saved up from somewhere to upgrade their system</t>
  </si>
  <si>
    <t>66af878c3e7cf007ff210bc7</t>
  </si>
  <si>
    <t xml:space="preserve">The difference in clothing and weather might confuse her body temperature </t>
  </si>
  <si>
    <t>67479f0a737baf4c314da42d</t>
  </si>
  <si>
    <t>Petra is saying that workers are fed up of the system.</t>
  </si>
  <si>
    <t>62a3b97d41ae082b602e815b</t>
  </si>
  <si>
    <t>6310a5c786d2abda637997c0</t>
  </si>
  <si>
    <t>5f3d4416c9088f09a5929418</t>
  </si>
  <si>
    <t xml:space="preserve">needs to be a system to check social capabilities </t>
  </si>
  <si>
    <t>5d7f8ad928d0e70001e54a7a</t>
  </si>
  <si>
    <t>That they started by providing parts to repair a much loved classic bike but then moved on to completely changing the design which might not be appreciated by enthusiasts</t>
  </si>
  <si>
    <t>569a54a5217ca2000cc93db0</t>
  </si>
  <si>
    <t>The current prison system does not have the capacity to support all of the potential criminals that "need" to be sent there. Criminals are going to be released early to free up capacity.</t>
  </si>
  <si>
    <t>605273bcd0b9b4510724f3d7</t>
  </si>
  <si>
    <t xml:space="preserve">That she believes it is going to be a shock to the system trying on clothes and that they are going to need to adapt to different air temps such as air con and outside temperatures. </t>
  </si>
  <si>
    <t>60a0c79b332c02c8a73e57a5</t>
  </si>
  <si>
    <t>That the system in which the workers work had betrayed the workers</t>
  </si>
  <si>
    <t>65390746aa1435a1644ab5a4</t>
  </si>
  <si>
    <t xml:space="preserve">I think it suggest that Medline is often underdressed or wearing very little. Probably short skirts and tops </t>
  </si>
  <si>
    <t>669bf4bc3c4966e5a7ecc17e</t>
  </si>
  <si>
    <t>Abbie is conveying her confusion as to how and where the company got the investment money from.</t>
  </si>
  <si>
    <t>671e5cd82db464f9c4e61d5d</t>
  </si>
  <si>
    <t>Trying to convince that lots of profession involve dealing with people</t>
  </si>
  <si>
    <t>64555b4504fc6b899ef87b69</t>
  </si>
  <si>
    <t>67407c617ee8b91996aed6ae</t>
  </si>
  <si>
    <t>i think maddie is saying that we should build more prisons rather than focus on rehabilitation.</t>
  </si>
  <si>
    <t>58ab1b3c32c2cc0001cd2bed</t>
  </si>
  <si>
    <t>5ea02e5c3fb6e6000a30693b</t>
  </si>
  <si>
    <t>622a29bce2e57a4d347f83a3</t>
  </si>
  <si>
    <t>Kath is conveying that although it is going to be warm she will be wearing more clothes which will make her body even warmer than it would like to be.</t>
  </si>
  <si>
    <t>577a6900f8f7ed00014b537b</t>
  </si>
  <si>
    <t>The change of weather being a shock to the body.</t>
  </si>
  <si>
    <t>5a9c1988f6dfdd0001ea9933</t>
  </si>
  <si>
    <t>Tanya says exams do not prepare us for the real world. They cover intellect but have nothing to do with meeting with and dealing with other people. I would agree with Tanya.</t>
  </si>
  <si>
    <t>67430fb98d80b64c6fad43b5</t>
  </si>
  <si>
    <t xml:space="preserve">That the prison system is broken and overwhelmed with the need for places. </t>
  </si>
  <si>
    <t>6266ac01a2a15cce6ed5fba7</t>
  </si>
  <si>
    <t>604541676af7216614098dde</t>
  </si>
  <si>
    <t>6726c16a47cb2c5e0e757ffe</t>
  </si>
  <si>
    <t>she thinks the people who brought the Triumph are a little suspicious by stating the money is from "somewhere". Also that everything has been changed.</t>
  </si>
  <si>
    <t>59ea0a806100f9000194a8e2</t>
  </si>
  <si>
    <t>6415cfa5324b6e802473285c</t>
  </si>
  <si>
    <t>56a733145ad8d9000596dc2f</t>
  </si>
  <si>
    <t>That the people they knew about weren't treated fairly by the policies/procedures that the company had.</t>
  </si>
  <si>
    <t>59d4c100078dbe0001951236</t>
  </si>
  <si>
    <t>5988055f631d0c000149a5ac</t>
  </si>
  <si>
    <t>6565f9b622363973dd04b722</t>
  </si>
  <si>
    <t>665c2d0fb795187f35e03d22</t>
  </si>
  <si>
    <t>66c1e52daadcd547b37ebb02</t>
  </si>
  <si>
    <t xml:space="preserve">That the person did aomething amazing because they got some money, something they would not have been able to do. </t>
  </si>
  <si>
    <t>5d4ca16427393e0001161cb2</t>
  </si>
  <si>
    <t xml:space="preserve">there is too many people requiring prisons, no enough prisons to house them </t>
  </si>
  <si>
    <t>66d05ce2ebc84bef33af3a06</t>
  </si>
  <si>
    <t>Theres no single test that can dwtermine your ability to communicate with people effectively, compared to intellect which is typically measurable with tests</t>
  </si>
  <si>
    <t>6723e41a9407ecbac7a953a2</t>
  </si>
  <si>
    <t>5c4afb7234ee9300011cbbfc</t>
  </si>
  <si>
    <t>Maddie is contradicting herself by advocating an alternative to prison, whilst firmly of the opinion that more prisons need be built.</t>
  </si>
  <si>
    <t>65959c4c0a962846babfa84d</t>
  </si>
  <si>
    <t>5e73ad87b9caf304bd7783ba</t>
  </si>
  <si>
    <t>54551e3afdf99b56291a6719</t>
  </si>
  <si>
    <t>63e51bbd2072e628bebe8f40</t>
  </si>
  <si>
    <t>5f8d77f0b348950659f1919e</t>
  </si>
  <si>
    <t>6658d27edd60f6a0b5dcb504</t>
  </si>
  <si>
    <t>5bf7be3abd1fd30001aa5498</t>
  </si>
  <si>
    <t>66dc5ce2cbee7796d2d7ef15</t>
  </si>
  <si>
    <t>I think katy is making a joke of having to wear more clothes as they  usually wear not a lot of clothes .</t>
  </si>
  <si>
    <t>668c1ce3696c797ae5aca0b9</t>
  </si>
  <si>
    <t>5c321ebf6558270001bd79aa</t>
  </si>
  <si>
    <t>5eb563cdca57073f4a9f3988</t>
  </si>
  <si>
    <t>66a17da1bbd16ce87902e439</t>
  </si>
  <si>
    <t xml:space="preserve">Katy is trying to say is due to a drastic difference in the temperature or whether conditions, body which is used to one particular temperature for example if you are used to cold weather and you are going in hot country then your body may not be able to cope the new environment and the sudden change may affect your overall well being and your body system. That's why she is saying it will be a bit of a shock if it is going to be hot. </t>
  </si>
  <si>
    <t>6578943bda60b06de1ba4628</t>
  </si>
  <si>
    <t>63b560544aa363d8ab6af7fb</t>
  </si>
  <si>
    <t>5d696d1c55742f001af29220</t>
  </si>
  <si>
    <t>64457bc906c125cebd4bf66b</t>
  </si>
  <si>
    <t>They have only learnt intellectual things rather than how to deal with people</t>
  </si>
  <si>
    <t>5a9e9fc46219a30001f54994</t>
  </si>
  <si>
    <t>she is discussing the interchanging of parts when you own this type of motorcycle</t>
  </si>
  <si>
    <t>6658bdf190fec69570a6ad5c</t>
  </si>
  <si>
    <t>The lack of interpersonal skills taught during exam processes</t>
  </si>
  <si>
    <t>6156fef09d1ab07148870099</t>
  </si>
  <si>
    <t>someone invested in them to make a whole new system</t>
  </si>
  <si>
    <t>664212577c09653c94741aab</t>
  </si>
  <si>
    <t>They felt like that as though the system had screwed them over.</t>
  </si>
  <si>
    <t>unless we build more prisons this system is going to crumble</t>
  </si>
  <si>
    <t>that's going to be a shock to the systen</t>
  </si>
  <si>
    <t xml:space="preserve"> we've never come up with a good system for measuring your capability with people.</t>
  </si>
  <si>
    <t>then got some money from somewhere and redesigned the whole system.</t>
  </si>
  <si>
    <t>D1</t>
  </si>
  <si>
    <t>d2</t>
  </si>
  <si>
    <t>d3</t>
  </si>
  <si>
    <t>d4</t>
  </si>
  <si>
    <t>d5</t>
  </si>
  <si>
    <t>Column1</t>
  </si>
  <si>
    <t>totals</t>
  </si>
  <si>
    <t>5c1392011f6f1500014931c0</t>
  </si>
  <si>
    <t>665df9761e71be748c0f0013</t>
  </si>
  <si>
    <t>65438042cfc37af1757bee97</t>
  </si>
  <si>
    <t>5b97a1e083bd380001b92485</t>
  </si>
  <si>
    <t>61485270e1957e4bc3686dfc</t>
  </si>
  <si>
    <t xml:space="preserve">WORKERS HAVE BEEN LET DOWN </t>
  </si>
  <si>
    <t>its like they want to blame everyone else other than themselves for the downfall</t>
  </si>
  <si>
    <t>She meant the workers the system or work environment had worked against them</t>
  </si>
  <si>
    <t xml:space="preserve">That they had been let down by systemic issues - that their jobs are not supported or praised by the government, maybe </t>
  </si>
  <si>
    <t>The people felt like they had been let down by their company. I feel like she sympathises with the people.</t>
  </si>
  <si>
    <t>There was a significant investment from an unknown company that allowed the bike maker to redesign</t>
  </si>
  <si>
    <t>6137a817c74daffd4a32dd80</t>
  </si>
  <si>
    <t xml:space="preserve">Exams measure intellect, but not social skills which isn't measurable at academic level, but she believes it should be  </t>
  </si>
  <si>
    <t>I would assume there is something wrong with Max and that she is dicussing that there are not good tests avalable that are customisable for Maxes specific issue.</t>
  </si>
  <si>
    <t>Tanya is dismissive of Max's skills and thinks she knows it all</t>
  </si>
  <si>
    <t>education fails at measuring people skills which is a big component of a career in priority of qualifications</t>
  </si>
  <si>
    <t>6692c06253968b2858b74a25</t>
  </si>
  <si>
    <t>66602c873fd68aa882ea524d</t>
  </si>
  <si>
    <t>664cb5fc78d553a26478eb2d</t>
  </si>
  <si>
    <t>653ea93f972f8131e59d7833</t>
  </si>
  <si>
    <t>Slight sarcasm</t>
  </si>
  <si>
    <t>That wearing work clothes in a hot environment will be a change from the usual.</t>
  </si>
  <si>
    <t>5cc1c0120915430001d7f38e</t>
  </si>
  <si>
    <t>5dede922ad51834919f11f91</t>
  </si>
  <si>
    <t>Although she believes that there must be better alternatives to prison, the argues that because the rate at which people are going into prison is greater than the rate at which prisoners are released, the system will collapse unless more prisons are built</t>
  </si>
  <si>
    <t>That the justice system will no longer work. It will no longer be possible to imprison people that should be imprisoned</t>
  </si>
  <si>
    <t>6773e92caf9a0a0f740475fc</t>
  </si>
  <si>
    <t>5ea01d722f8a310202abb100</t>
  </si>
  <si>
    <t>DPS</t>
  </si>
  <si>
    <t xml:space="preserve">QUD: </t>
  </si>
  <si>
    <t xml:space="preserve">Discourse relations </t>
  </si>
  <si>
    <t>Why did they (the people) act out / rebel / engage in radical actions (e.g. blowing up credit card companies)?</t>
  </si>
  <si>
    <t>This utterance provides an explanation for the feeling of being "run down"—a causal or motivating context.</t>
  </si>
  <si>
    <t>Explanation</t>
  </si>
  <si>
    <t>Comment</t>
  </si>
  <si>
    <t>Certainty</t>
  </si>
  <si>
    <t>SIT</t>
  </si>
  <si>
    <t>INF</t>
  </si>
  <si>
    <t>EVA</t>
  </si>
  <si>
    <t>paraphrase</t>
  </si>
  <si>
    <t>inference</t>
  </si>
  <si>
    <t>People felt betrayed, exploited, or harmed by the system.</t>
  </si>
  <si>
    <r>
      <t xml:space="preserve">This is a </t>
    </r>
    <r>
      <rPr>
        <b/>
        <sz val="11"/>
        <color indexed="8"/>
        <rFont val="Aptos Narrow"/>
        <family val="2"/>
        <scheme val="minor"/>
      </rPr>
      <t>direct paraphrase</t>
    </r>
    <r>
      <rPr>
        <sz val="11"/>
        <color indexed="8"/>
        <rFont val="Aptos Narrow"/>
        <family val="2"/>
        <scheme val="minor"/>
      </rPr>
      <t xml:space="preserve"> or </t>
    </r>
    <r>
      <rPr>
        <b/>
        <sz val="11"/>
        <color indexed="8"/>
        <rFont val="Aptos Narrow"/>
        <family val="2"/>
        <scheme val="minor"/>
      </rPr>
      <t>description of the emotional and socio-political condition</t>
    </r>
    <r>
      <rPr>
        <sz val="11"/>
        <color indexed="8"/>
        <rFont val="Aptos Narrow"/>
        <family val="2"/>
        <scheme val="minor"/>
      </rPr>
      <t xml:space="preserve"> referred to by Petra: a sense of being wronged or oppressed by institutional structures.</t>
    </r>
  </si>
  <si>
    <t>it being used against you is an inference</t>
  </si>
  <si>
    <t>broken not directly stated</t>
  </si>
  <si>
    <t>attributing emotion</t>
  </si>
  <si>
    <t>working conditions not the system</t>
  </si>
  <si>
    <t>QUD</t>
  </si>
  <si>
    <t>Discourse relations</t>
  </si>
  <si>
    <t>What are the consequences of the current prison system's trajectory?</t>
  </si>
  <si>
    <t>Defeasible Consequence</t>
  </si>
  <si>
    <r>
      <t xml:space="preserve">Maddie’s statement presents a conditional, predictive relationship: </t>
    </r>
    <r>
      <rPr>
        <i/>
        <sz val="11"/>
        <color indexed="8"/>
        <rFont val="Aptos Narrow"/>
        <family val="2"/>
        <scheme val="minor"/>
      </rPr>
      <t>If we don’t build more prisons, the system will fail.</t>
    </r>
    <r>
      <rPr>
        <sz val="11"/>
        <color indexed="8"/>
        <rFont val="Aptos Narrow"/>
        <family val="2"/>
        <scheme val="minor"/>
      </rPr>
      <t xml:space="preserve"> This reflects </t>
    </r>
    <r>
      <rPr>
        <b/>
        <sz val="11"/>
        <color indexed="8"/>
        <rFont val="Aptos Narrow"/>
        <family val="2"/>
        <scheme val="minor"/>
      </rPr>
      <t>a likely (but not guaranteed) outcome</t>
    </r>
    <r>
      <rPr>
        <sz val="11"/>
        <color indexed="8"/>
        <rFont val="Aptos Narrow"/>
        <family val="2"/>
        <scheme val="minor"/>
      </rPr>
      <t xml:space="preserve">—a </t>
    </r>
    <r>
      <rPr>
        <b/>
        <sz val="11"/>
        <color indexed="8"/>
        <rFont val="Aptos Narrow"/>
        <family val="2"/>
        <scheme val="minor"/>
      </rPr>
      <t>defeasible inference</t>
    </r>
    <r>
      <rPr>
        <sz val="11"/>
        <color indexed="8"/>
        <rFont val="Aptos Narrow"/>
        <family val="2"/>
        <scheme val="minor"/>
      </rPr>
      <t xml:space="preserve"> based on current trends in incarceration and recidivism.</t>
    </r>
  </si>
  <si>
    <t>The prison system is under strain because more people are being incarcerated than released, and reoffending rates are high.</t>
  </si>
  <si>
    <t>leaving criminals on the street is an inference</t>
  </si>
  <si>
    <t>unsustainable and reprecussions is an inference</t>
  </si>
  <si>
    <t>alternative ways is inference</t>
  </si>
  <si>
    <t>contradicting is an inference</t>
  </si>
  <si>
    <t>How will we adapt to the changes in weather, especially the heat?</t>
  </si>
  <si>
    <r>
      <t xml:space="preserve">The utterance "well that's going to be a bit of a shock to the system, isn't it?" provides a </t>
    </r>
    <r>
      <rPr>
        <b/>
        <sz val="11"/>
        <color indexed="8"/>
        <rFont val="Aptos Narrow"/>
        <family val="2"/>
        <scheme val="minor"/>
      </rPr>
      <t>commentary or explanation</t>
    </r>
    <r>
      <rPr>
        <sz val="11"/>
        <color indexed="8"/>
        <rFont val="Aptos Narrow"/>
        <family val="2"/>
        <scheme val="minor"/>
      </rPr>
      <t xml:space="preserve"> of the situation that Madeline described (wearing more clothes in the heat). It doesn’t provide new information but adds interpretive value by offering a reaction to the situation, framing it as something that will be difficult to adjust to.</t>
    </r>
  </si>
  <si>
    <r>
      <t xml:space="preserve">This utterance is </t>
    </r>
    <r>
      <rPr>
        <b/>
        <sz val="11"/>
        <color indexed="8"/>
        <rFont val="Aptos Narrow"/>
        <family val="2"/>
        <scheme val="minor"/>
      </rPr>
      <t>describing the challenge</t>
    </r>
    <r>
      <rPr>
        <sz val="11"/>
        <color indexed="8"/>
        <rFont val="Aptos Narrow"/>
        <family val="2"/>
        <scheme val="minor"/>
      </rPr>
      <t xml:space="preserve"> of adjusting to the new weather conditions, specifically the feeling of discomfort or surprise that might come from wearing more clothes in hot weather</t>
    </r>
  </si>
  <si>
    <t>wearing more clothes will be a weird sensation</t>
  </si>
  <si>
    <t>How can we measure the skill of dealing with people in job settings?</t>
  </si>
  <si>
    <t>seems to be suggesting is an ifnerence</t>
  </si>
  <si>
    <t>doing well in workplace is an inference</t>
  </si>
  <si>
    <t>goes broader than dps</t>
  </si>
  <si>
    <t>personality goes bevyond dps</t>
  </si>
  <si>
    <t>beyond dps</t>
  </si>
  <si>
    <t>introducing a "should"</t>
  </si>
  <si>
    <t>convincing is an inference</t>
  </si>
  <si>
    <t>something wrong with max??</t>
  </si>
  <si>
    <t>How did the new Triumph company evolve and develop their motorcycles?</t>
  </si>
  <si>
    <t>never said anything about the look</t>
  </si>
  <si>
    <t>said in the discourse</t>
  </si>
  <si>
    <t>becoming successful is an inference</t>
  </si>
  <si>
    <t>nothing about system</t>
  </si>
  <si>
    <t>callback to the interchangeable parts</t>
  </si>
  <si>
    <t>broader discourse</t>
  </si>
  <si>
    <t>dps</t>
  </si>
  <si>
    <t>inference from earlier turn</t>
  </si>
  <si>
    <t>rather than tackle issue is inference</t>
  </si>
  <si>
    <t>sit</t>
  </si>
  <si>
    <t>not about clothing but broader discourse</t>
  </si>
  <si>
    <t>inference (and a sexist one)</t>
  </si>
  <si>
    <t>inf</t>
  </si>
  <si>
    <t xml:space="preserve">suspicion = evaluation </t>
  </si>
  <si>
    <t>eva</t>
  </si>
  <si>
    <t>Excluded?</t>
  </si>
  <si>
    <t>PAR</t>
  </si>
  <si>
    <t>X</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</si>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</sst>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sz val="11"/>
      <color indexed="8"/>
      <name val="Aptos Narrow"/>
      <family val="2"/>
      <scheme val="minor"/>
    </font>
    <font>
      <b/>
      <sz val="11"/>
      <color indexed="8"/>
      <name val="Aptos Narrow"/>
      <family val="2"/>
      <scheme val="minor"/>
    </font>
    <font>
      <sz val="8"/>
      <name val="Aptos Narrow"/>
      <family val="2"/>
      <scheme val="minor"/>
    </font>
    <font>
      <i/>
      <sz val="11"/>
      <color indexed="8"/>
      <name val="Aptos Narrow"/>
      <family val="2"/>
      <scheme val="minor"/>
    </font>
  </fonts>
  <fills count="6">
    <fill>
      <patternFill patternType="none"/>
    </fill>
    <fill>
      <patternFill patternType="gray125"/>
    </fill>
    <fill>
      <patternFill patternType="solid">
        <fgColor indexed="22"/>
      </patternFill>
    </fill>
    <fill>
      <patternFill patternType="solid">
        <fgColor rgb="FFFF0000"/>
        <bgColor indexed="64"/>
      </patternFill>
    </fill>
    <fill>
      <patternFill patternType="solid">
        <fgColor theme="2" tint="-9.9978637043366805E-2"/>
        <bgColor indexed="64"/>
      </patternFill>
    </fill>
    <fill>
      <patternFill patternType="solid">
        <fgColor rgb="FFFFC0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49" fontId="0" fillId="0" borderId="0" xfId="0" applyNumberFormat="1" applyAlignment="1">
      <alignment wrapText="1"/>
    </xf>
    <xf numFmtId="0" fontId="0" fillId="2" borderId="0" xfId="0" applyFill="1"/>
    <xf numFmtId="0" fontId="0" fillId="0" borderId="0" xfId="0">
      <extLst>
        <ext xmlns:xfpb="http://schemas.microsoft.com/office/spreadsheetml/2022/featurepropertybag" uri="{C7286773-470A-42A8-94C5-96B5CB345126}">
          <xfpb:xfComplement i="0"/>
        </ext>
      </extLst>
    </xf>
    <xf numFmtId="0" fontId="0" fillId="2" borderId="0" xfId="0" applyFill="1" applyAlignment="1">
      <alignment vertical="top" wrapText="1"/>
    </xf>
    <xf numFmtId="49" fontId="0" fillId="3" borderId="0" xfId="0" applyNumberFormat="1" applyFill="1" applyAlignment="1">
      <alignment wrapText="1"/>
    </xf>
    <xf numFmtId="0" fontId="0" fillId="2" borderId="0" xfId="0" applyFill="1" applyAlignment="1">
      <alignment wrapText="1"/>
    </xf>
    <xf numFmtId="9" fontId="0" fillId="0" borderId="0" xfId="1" applyFont="1"/>
    <xf numFmtId="0" fontId="0" fillId="0" borderId="0" xfId="0" applyAlignment="1">
      <alignment wrapText="1"/>
    </xf>
    <xf numFmtId="49" fontId="0" fillId="0" borderId="0" xfId="0" applyNumberFormat="1" applyAlignment="1">
      <alignment vertical="top" wrapText="1"/>
    </xf>
    <xf numFmtId="0" fontId="2" fillId="0" borderId="0" xfId="0" applyFont="1"/>
    <xf numFmtId="0" fontId="0" fillId="0" borderId="0" xfId="0" applyAlignment="1">
      <alignment vertical="top" wrapText="1"/>
    </xf>
    <xf numFmtId="0" fontId="0" fillId="0" borderId="0" xfId="1" applyNumberFormat="1" applyFont="1"/>
    <xf numFmtId="0" fontId="0" fillId="0" borderId="0" xfId="0" applyAlignment="1">
      <alignment horizontal="left" vertical="center" indent="1"/>
    </xf>
    <xf numFmtId="0" fontId="0" fillId="4" borderId="0" xfId="0" applyFill="1"/>
    <xf numFmtId="0" fontId="0" fillId="4" borderId="0" xfId="0" applyFill="1" applyAlignment="1">
      <alignment wrapText="1"/>
    </xf>
    <xf numFmtId="49" fontId="0" fillId="5" borderId="0" xfId="0" applyNumberFormat="1" applyFill="1" applyAlignment="1">
      <alignment wrapText="1"/>
    </xf>
    <xf numFmtId="49" fontId="0" fillId="5" borderId="0" xfId="0" applyNumberFormat="1" applyFill="1" applyAlignment="1">
      <alignment vertical="top" wrapText="1"/>
    </xf>
    <xf numFmtId="0" fontId="0" fillId="2" borderId="0" xfId="0" applyFill="1" applyAlignment="1">
      <alignment vertical="top" wrapText="1"/>
    </xf>
  </cellXfs>
  <cellStyles count="2">
    <cellStyle name="Normal" xfId="0" builtinId="0"/>
    <cellStyle name="Per cent" xfId="1" builtinId="5"/>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5DFC956-4081-48B5-8394-6816884D30CB}" name="Table6" displayName="Table6" ref="A1:E6" totalsRowShown="0">
  <autoFilter ref="A1:E6" xr:uid="{B5DFC956-4081-48B5-8394-6816884D30CB}"/>
  <tableColumns count="5">
    <tableColumn id="1" xr3:uid="{7B288798-0F58-4782-9199-DE7B34EEEAF7}" name="Column1"/>
    <tableColumn id="2" xr3:uid="{0852F3C0-F477-4092-95FF-9696E6EDC1D7}" name="PAR"/>
    <tableColumn id="3" xr3:uid="{F6A72641-8F21-4544-A7EE-DFCFAF1435CC}" name="SIT"/>
    <tableColumn id="4" xr3:uid="{57180BC8-6C18-4D55-8041-22A4074A0822}" name="INF"/>
    <tableColumn id="5" xr3:uid="{868C4183-D979-4B63-8F63-6AD3F8D4FC33}" name="EVA"/>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7F46845-4244-4683-8342-CD06CDD730BC}" name="Table8" displayName="Table8" ref="A8:E9" totalsRowShown="0">
  <autoFilter ref="A8:E9" xr:uid="{D7F46845-4244-4683-8342-CD06CDD730BC}"/>
  <tableColumns count="5">
    <tableColumn id="1" xr3:uid="{D535EFB1-2D7B-4767-891C-D16C5977E3A8}" name="Column1"/>
    <tableColumn id="2" xr3:uid="{E6248233-8C9F-467E-9F63-2524F5F29D92}" name="PAR">
      <calculatedColumnFormula>SUM(Table6[PAR])</calculatedColumnFormula>
    </tableColumn>
    <tableColumn id="3" xr3:uid="{819E58B1-D42C-4F9E-A9FF-DF79FB6C86BC}" name="SIT">
      <calculatedColumnFormula>SUM(Table6[SIT])</calculatedColumnFormula>
    </tableColumn>
    <tableColumn id="4" xr3:uid="{D7C57E58-0333-48F8-B862-5EC2E5A21489}" name="INF">
      <calculatedColumnFormula>SUM(Table6[INF])</calculatedColumnFormula>
    </tableColumn>
    <tableColumn id="5" xr3:uid="{782460F9-8373-4F88-944A-AD44E93392A7}" name="EVA">
      <calculatedColumnFormula>SUM(Table6[EVA])</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5BBF242-4EC7-4412-9F73-3B9AECC6530F}" name="Table610" displayName="Table610" ref="A11:F16" totalsRowShown="0">
  <autoFilter ref="A11:F16" xr:uid="{45BBF242-4EC7-4412-9F73-3B9AECC6530F}"/>
  <tableColumns count="6">
    <tableColumn id="1" xr3:uid="{5901E99A-8A8D-41E7-976A-39DAEE565BB8}" name="Column1"/>
    <tableColumn id="2" xr3:uid="{44190273-95D6-4110-A424-75F64961639D}" name="PAR" dataCellStyle="Per cent">
      <calculatedColumnFormula>B2/Table610[[#This Row],[Total]]</calculatedColumnFormula>
    </tableColumn>
    <tableColumn id="3" xr3:uid="{2409531D-401C-47D6-98EC-4FB76334A1D6}" name="SIT" dataCellStyle="Per cent">
      <calculatedColumnFormula>C2/Table610[[#This Row],[Total]]</calculatedColumnFormula>
    </tableColumn>
    <tableColumn id="4" xr3:uid="{16CEBFD4-4FAB-4495-986A-1D935A855959}" name="INF" dataCellStyle="Per cent">
      <calculatedColumnFormula>D2/Table610[[#This Row],[Total]]</calculatedColumnFormula>
    </tableColumn>
    <tableColumn id="5" xr3:uid="{88940101-A571-458E-958F-4CEF6FD8E98A}" name="EVA" dataCellStyle="Per cent">
      <calculatedColumnFormula>E2/F12</calculatedColumnFormula>
    </tableColumn>
    <tableColumn id="6" xr3:uid="{AAC2DE52-2F40-4AA2-8FFC-4A4C986CD6CE}" name="Total" dataDxfId="7" dataCellStyle="Per cent">
      <calculatedColumnFormula>SUM(B2:E2)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272"/>
  <sheetViews>
    <sheetView topLeftCell="E234" workbookViewId="0">
      <selection activeCell="I264" sqref="I264"/>
    </sheetView>
  </sheetViews>
  <sheetFormatPr defaultRowHeight="14.75" x14ac:dyDescent="0.75"/>
  <cols>
    <col min="1" max="1" width="8.7265625" style="8"/>
    <col min="5" max="5" width="35.1796875" style="8" customWidth="1"/>
    <col min="6" max="6" width="33.54296875" customWidth="1"/>
    <col min="7" max="7" width="38.1796875" customWidth="1"/>
    <col min="8" max="8" width="35.31640625" customWidth="1"/>
    <col min="9" max="9" width="37.08984375" customWidth="1"/>
  </cols>
  <sheetData>
    <row r="1" spans="1:9" ht="29.5" x14ac:dyDescent="0.75">
      <c r="A1" s="6" t="s">
        <v>0</v>
      </c>
      <c r="B1" s="2" t="s">
        <v>1</v>
      </c>
      <c r="C1" s="2" t="s">
        <v>2</v>
      </c>
      <c r="D1" s="2" t="s">
        <v>3</v>
      </c>
      <c r="E1" s="6" t="s">
        <v>4</v>
      </c>
      <c r="F1" s="2" t="s">
        <v>5</v>
      </c>
      <c r="G1" s="2" t="s">
        <v>6</v>
      </c>
      <c r="H1" s="2" t="s">
        <v>7</v>
      </c>
      <c r="I1" s="2" t="s">
        <v>8</v>
      </c>
    </row>
    <row r="2" spans="1:9" ht="20.25" customHeight="1" x14ac:dyDescent="0.75">
      <c r="A2" s="6" t="s">
        <v>0</v>
      </c>
      <c r="B2" s="2" t="s">
        <v>9</v>
      </c>
      <c r="C2" s="2" t="s">
        <v>10</v>
      </c>
      <c r="D2" s="2" t="s">
        <v>11</v>
      </c>
      <c r="E2" s="4" t="s">
        <v>12</v>
      </c>
      <c r="F2" s="2" t="s">
        <v>13</v>
      </c>
      <c r="G2" s="2" t="s">
        <v>14</v>
      </c>
      <c r="H2" s="2" t="s">
        <v>15</v>
      </c>
      <c r="I2" s="2" t="s">
        <v>16</v>
      </c>
    </row>
    <row r="3" spans="1:9" ht="59" hidden="1" x14ac:dyDescent="0.75">
      <c r="A3" s="1" t="s">
        <v>17</v>
      </c>
      <c r="B3" s="1" t="s">
        <v>18</v>
      </c>
      <c r="C3" s="1" t="s">
        <v>19</v>
      </c>
      <c r="D3" s="1" t="s">
        <v>20</v>
      </c>
      <c r="E3" s="1" t="s">
        <v>21</v>
      </c>
      <c r="F3" s="1" t="s">
        <v>21</v>
      </c>
      <c r="G3" s="1" t="s">
        <v>21</v>
      </c>
      <c r="H3" s="1" t="s">
        <v>21</v>
      </c>
      <c r="I3" s="1" t="s">
        <v>21</v>
      </c>
    </row>
    <row r="4" spans="1:9" ht="59" hidden="1" x14ac:dyDescent="0.75">
      <c r="A4" s="1" t="s">
        <v>22</v>
      </c>
      <c r="B4" s="1" t="s">
        <v>23</v>
      </c>
      <c r="C4" s="1" t="s">
        <v>24</v>
      </c>
      <c r="D4" s="1" t="s">
        <v>25</v>
      </c>
      <c r="E4" s="1" t="s">
        <v>21</v>
      </c>
      <c r="F4" s="1" t="s">
        <v>26</v>
      </c>
      <c r="G4" s="1" t="s">
        <v>21</v>
      </c>
      <c r="H4" s="1" t="s">
        <v>21</v>
      </c>
      <c r="I4" s="1" t="s">
        <v>21</v>
      </c>
    </row>
    <row r="5" spans="1:9" ht="59" hidden="1" x14ac:dyDescent="0.75">
      <c r="A5" s="1" t="s">
        <v>27</v>
      </c>
      <c r="B5" s="1" t="s">
        <v>28</v>
      </c>
      <c r="C5" s="1" t="s">
        <v>29</v>
      </c>
      <c r="D5" s="1" t="s">
        <v>30</v>
      </c>
      <c r="E5" s="1" t="s">
        <v>21</v>
      </c>
      <c r="F5" s="1" t="s">
        <v>21</v>
      </c>
      <c r="G5" s="1" t="s">
        <v>21</v>
      </c>
      <c r="H5" s="1" t="s">
        <v>21</v>
      </c>
      <c r="I5" s="1" t="s">
        <v>21</v>
      </c>
    </row>
    <row r="6" spans="1:9" ht="103.25" hidden="1" x14ac:dyDescent="0.75">
      <c r="A6" s="1" t="s">
        <v>31</v>
      </c>
      <c r="B6" s="1" t="s">
        <v>28</v>
      </c>
      <c r="C6" s="1" t="s">
        <v>32</v>
      </c>
      <c r="D6" s="1" t="s">
        <v>33</v>
      </c>
      <c r="E6" s="1" t="s">
        <v>21</v>
      </c>
      <c r="F6" s="1" t="s">
        <v>21</v>
      </c>
      <c r="G6" s="1" t="s">
        <v>21</v>
      </c>
      <c r="H6" s="1" t="s">
        <v>21</v>
      </c>
      <c r="I6" s="1" t="s">
        <v>21</v>
      </c>
    </row>
    <row r="7" spans="1:9" ht="103.25" hidden="1" x14ac:dyDescent="0.75">
      <c r="A7" s="1" t="s">
        <v>34</v>
      </c>
      <c r="B7" s="1" t="s">
        <v>35</v>
      </c>
      <c r="C7" s="1" t="s">
        <v>36</v>
      </c>
      <c r="D7" s="1" t="s">
        <v>33</v>
      </c>
      <c r="E7" s="1" t="s">
        <v>21</v>
      </c>
      <c r="F7" s="1" t="s">
        <v>21</v>
      </c>
      <c r="G7" s="1" t="s">
        <v>21</v>
      </c>
      <c r="H7" s="1" t="s">
        <v>21</v>
      </c>
      <c r="I7" s="1" t="s">
        <v>21</v>
      </c>
    </row>
    <row r="8" spans="1:9" ht="59" hidden="1" x14ac:dyDescent="0.75">
      <c r="A8" s="1" t="s">
        <v>37</v>
      </c>
      <c r="B8" s="1" t="s">
        <v>23</v>
      </c>
      <c r="C8" s="1" t="s">
        <v>29</v>
      </c>
      <c r="D8" s="1" t="s">
        <v>38</v>
      </c>
      <c r="E8" s="1" t="s">
        <v>21</v>
      </c>
      <c r="F8" s="1" t="s">
        <v>21</v>
      </c>
      <c r="G8" s="1" t="s">
        <v>21</v>
      </c>
      <c r="H8" s="1" t="s">
        <v>21</v>
      </c>
      <c r="I8" s="1" t="s">
        <v>21</v>
      </c>
    </row>
    <row r="9" spans="1:9" ht="59" x14ac:dyDescent="0.75">
      <c r="A9" s="1" t="s">
        <v>39</v>
      </c>
      <c r="B9" s="1" t="s">
        <v>23</v>
      </c>
      <c r="C9" s="1" t="s">
        <v>29</v>
      </c>
      <c r="D9" s="1" t="s">
        <v>40</v>
      </c>
      <c r="E9" s="1" t="s">
        <v>21</v>
      </c>
      <c r="F9" s="1" t="s">
        <v>21</v>
      </c>
      <c r="G9" s="1" t="s">
        <v>21</v>
      </c>
      <c r="H9" s="1" t="s">
        <v>21</v>
      </c>
      <c r="I9" s="1" t="s">
        <v>41</v>
      </c>
    </row>
    <row r="10" spans="1:9" ht="59" hidden="1" x14ac:dyDescent="0.75">
      <c r="A10" s="1" t="s">
        <v>42</v>
      </c>
      <c r="B10" s="1" t="s">
        <v>35</v>
      </c>
      <c r="C10" s="1" t="s">
        <v>19</v>
      </c>
      <c r="D10" s="1" t="s">
        <v>38</v>
      </c>
      <c r="E10" s="1" t="s">
        <v>21</v>
      </c>
      <c r="F10" s="1" t="s">
        <v>21</v>
      </c>
      <c r="G10" s="1" t="s">
        <v>43</v>
      </c>
      <c r="H10" s="1" t="s">
        <v>21</v>
      </c>
      <c r="I10" s="1" t="s">
        <v>21</v>
      </c>
    </row>
    <row r="11" spans="1:9" ht="59" hidden="1" x14ac:dyDescent="0.75">
      <c r="A11" s="1" t="s">
        <v>44</v>
      </c>
      <c r="B11" s="1" t="s">
        <v>28</v>
      </c>
      <c r="C11" s="1" t="s">
        <v>45</v>
      </c>
      <c r="D11" s="1" t="s">
        <v>40</v>
      </c>
      <c r="E11" s="1" t="s">
        <v>21</v>
      </c>
      <c r="F11" s="1" t="s">
        <v>21</v>
      </c>
      <c r="G11" s="1" t="s">
        <v>21</v>
      </c>
      <c r="H11" s="1" t="s">
        <v>21</v>
      </c>
      <c r="I11" s="1" t="s">
        <v>21</v>
      </c>
    </row>
    <row r="12" spans="1:9" ht="44.25" hidden="1" x14ac:dyDescent="0.75">
      <c r="A12" s="1" t="s">
        <v>46</v>
      </c>
      <c r="B12" s="1" t="s">
        <v>35</v>
      </c>
      <c r="C12" s="1" t="s">
        <v>45</v>
      </c>
      <c r="D12" s="1" t="s">
        <v>47</v>
      </c>
      <c r="E12" s="1" t="s">
        <v>21</v>
      </c>
      <c r="F12" s="1" t="s">
        <v>21</v>
      </c>
      <c r="G12" s="1" t="s">
        <v>21</v>
      </c>
      <c r="H12" s="1" t="s">
        <v>21</v>
      </c>
      <c r="I12" s="1" t="s">
        <v>21</v>
      </c>
    </row>
    <row r="13" spans="1:9" ht="59" hidden="1" x14ac:dyDescent="0.75">
      <c r="A13" s="1" t="s">
        <v>48</v>
      </c>
      <c r="B13" s="1" t="s">
        <v>35</v>
      </c>
      <c r="C13" s="1" t="s">
        <v>29</v>
      </c>
      <c r="D13" s="1" t="s">
        <v>47</v>
      </c>
      <c r="E13" s="1" t="s">
        <v>49</v>
      </c>
      <c r="F13" s="1" t="s">
        <v>21</v>
      </c>
      <c r="G13" s="1" t="s">
        <v>21</v>
      </c>
      <c r="H13" s="1" t="s">
        <v>21</v>
      </c>
      <c r="I13" s="1" t="s">
        <v>21</v>
      </c>
    </row>
    <row r="14" spans="1:9" ht="59" hidden="1" x14ac:dyDescent="0.75">
      <c r="A14" s="1" t="s">
        <v>50</v>
      </c>
      <c r="B14" s="1" t="s">
        <v>28</v>
      </c>
      <c r="C14" s="1" t="s">
        <v>29</v>
      </c>
      <c r="D14" s="1" t="s">
        <v>51</v>
      </c>
      <c r="E14" s="1" t="s">
        <v>21</v>
      </c>
      <c r="F14" s="1" t="s">
        <v>52</v>
      </c>
      <c r="G14" s="1" t="s">
        <v>21</v>
      </c>
      <c r="H14" s="1" t="s">
        <v>21</v>
      </c>
      <c r="I14" s="1" t="s">
        <v>21</v>
      </c>
    </row>
    <row r="15" spans="1:9" ht="88.5" hidden="1" x14ac:dyDescent="0.75">
      <c r="A15" s="1" t="s">
        <v>53</v>
      </c>
      <c r="B15" s="1" t="s">
        <v>28</v>
      </c>
      <c r="C15" s="1" t="s">
        <v>32</v>
      </c>
      <c r="D15" s="1" t="s">
        <v>54</v>
      </c>
      <c r="E15" s="1" t="s">
        <v>21</v>
      </c>
      <c r="F15" s="1" t="s">
        <v>21</v>
      </c>
      <c r="G15" s="1" t="s">
        <v>55</v>
      </c>
      <c r="H15" s="1" t="s">
        <v>21</v>
      </c>
      <c r="I15" s="1" t="s">
        <v>21</v>
      </c>
    </row>
    <row r="16" spans="1:9" ht="59" hidden="1" x14ac:dyDescent="0.75">
      <c r="A16" s="1" t="s">
        <v>56</v>
      </c>
      <c r="B16" s="1" t="s">
        <v>23</v>
      </c>
      <c r="C16" s="1" t="s">
        <v>29</v>
      </c>
      <c r="D16" s="1" t="s">
        <v>57</v>
      </c>
      <c r="E16" s="1" t="s">
        <v>21</v>
      </c>
      <c r="F16" s="1" t="s">
        <v>21</v>
      </c>
      <c r="G16" s="1" t="s">
        <v>21</v>
      </c>
      <c r="H16" s="1" t="s">
        <v>21</v>
      </c>
      <c r="I16" s="1" t="s">
        <v>21</v>
      </c>
    </row>
    <row r="17" spans="1:9" ht="59" hidden="1" x14ac:dyDescent="0.75">
      <c r="A17" s="1" t="s">
        <v>58</v>
      </c>
      <c r="B17" s="1" t="s">
        <v>28</v>
      </c>
      <c r="C17" s="1" t="s">
        <v>24</v>
      </c>
      <c r="D17" s="1" t="s">
        <v>30</v>
      </c>
      <c r="E17" s="1" t="s">
        <v>21</v>
      </c>
      <c r="F17" s="1" t="s">
        <v>21</v>
      </c>
      <c r="G17" s="1" t="s">
        <v>21</v>
      </c>
      <c r="H17" s="1" t="s">
        <v>59</v>
      </c>
      <c r="I17" s="1" t="s">
        <v>21</v>
      </c>
    </row>
    <row r="18" spans="1:9" ht="59" hidden="1" x14ac:dyDescent="0.75">
      <c r="A18" s="1" t="s">
        <v>60</v>
      </c>
      <c r="B18" s="1" t="s">
        <v>28</v>
      </c>
      <c r="C18" s="1" t="s">
        <v>29</v>
      </c>
      <c r="D18" s="1" t="s">
        <v>61</v>
      </c>
      <c r="E18" s="1" t="s">
        <v>21</v>
      </c>
      <c r="F18" s="1" t="s">
        <v>21</v>
      </c>
      <c r="G18" s="1" t="s">
        <v>21</v>
      </c>
      <c r="H18" s="1" t="s">
        <v>21</v>
      </c>
      <c r="I18" s="1" t="s">
        <v>21</v>
      </c>
    </row>
    <row r="19" spans="1:9" ht="59" hidden="1" x14ac:dyDescent="0.75">
      <c r="A19" s="1" t="s">
        <v>62</v>
      </c>
      <c r="B19" s="1" t="s">
        <v>23</v>
      </c>
      <c r="C19" s="1" t="s">
        <v>19</v>
      </c>
      <c r="D19" s="1" t="s">
        <v>63</v>
      </c>
      <c r="E19" s="1" t="s">
        <v>21</v>
      </c>
      <c r="F19" s="1" t="s">
        <v>64</v>
      </c>
      <c r="G19" s="1" t="s">
        <v>21</v>
      </c>
      <c r="H19" s="1" t="s">
        <v>21</v>
      </c>
      <c r="I19" s="1" t="s">
        <v>21</v>
      </c>
    </row>
    <row r="20" spans="1:9" ht="73.75" hidden="1" x14ac:dyDescent="0.75">
      <c r="A20" s="1" t="s">
        <v>65</v>
      </c>
      <c r="B20" s="1" t="s">
        <v>23</v>
      </c>
      <c r="C20" s="1" t="s">
        <v>19</v>
      </c>
      <c r="D20" s="1" t="s">
        <v>66</v>
      </c>
      <c r="E20" s="1" t="s">
        <v>67</v>
      </c>
      <c r="F20" s="1" t="s">
        <v>21</v>
      </c>
      <c r="G20" s="1" t="s">
        <v>21</v>
      </c>
      <c r="H20" s="1" t="s">
        <v>21</v>
      </c>
      <c r="I20" s="1" t="s">
        <v>21</v>
      </c>
    </row>
    <row r="21" spans="1:9" ht="73.75" hidden="1" x14ac:dyDescent="0.75">
      <c r="A21" s="1" t="s">
        <v>68</v>
      </c>
      <c r="B21" s="1" t="s">
        <v>28</v>
      </c>
      <c r="C21" s="1" t="s">
        <v>29</v>
      </c>
      <c r="D21" s="1" t="s">
        <v>66</v>
      </c>
      <c r="E21" s="1" t="s">
        <v>69</v>
      </c>
      <c r="F21" s="1" t="s">
        <v>21</v>
      </c>
      <c r="G21" s="1" t="s">
        <v>21</v>
      </c>
      <c r="H21" s="1" t="s">
        <v>21</v>
      </c>
      <c r="I21" s="1" t="s">
        <v>21</v>
      </c>
    </row>
    <row r="22" spans="1:9" ht="88.5" hidden="1" x14ac:dyDescent="0.75">
      <c r="A22" s="1" t="s">
        <v>70</v>
      </c>
      <c r="B22" s="1" t="s">
        <v>28</v>
      </c>
      <c r="C22" s="1" t="s">
        <v>32</v>
      </c>
      <c r="D22" s="1" t="s">
        <v>54</v>
      </c>
      <c r="E22" s="1" t="s">
        <v>21</v>
      </c>
      <c r="F22" s="1" t="s">
        <v>21</v>
      </c>
      <c r="G22" s="1" t="s">
        <v>21</v>
      </c>
      <c r="H22" s="1" t="s">
        <v>21</v>
      </c>
      <c r="I22" s="1" t="s">
        <v>21</v>
      </c>
    </row>
    <row r="23" spans="1:9" ht="59" hidden="1" x14ac:dyDescent="0.75">
      <c r="A23" s="1" t="s">
        <v>71</v>
      </c>
      <c r="B23" s="1" t="s">
        <v>23</v>
      </c>
      <c r="C23" s="1" t="s">
        <v>29</v>
      </c>
      <c r="D23" s="1" t="s">
        <v>57</v>
      </c>
      <c r="E23" s="1" t="s">
        <v>21</v>
      </c>
      <c r="F23" s="1" t="s">
        <v>21</v>
      </c>
      <c r="G23" s="1" t="s">
        <v>21</v>
      </c>
      <c r="H23" s="1" t="s">
        <v>21</v>
      </c>
      <c r="I23" s="1" t="s">
        <v>21</v>
      </c>
    </row>
    <row r="24" spans="1:9" ht="73.75" hidden="1" x14ac:dyDescent="0.75">
      <c r="A24" s="1" t="s">
        <v>72</v>
      </c>
      <c r="B24" s="1" t="s">
        <v>23</v>
      </c>
      <c r="C24" s="1" t="s">
        <v>29</v>
      </c>
      <c r="D24" s="1" t="s">
        <v>25</v>
      </c>
      <c r="E24" s="1" t="s">
        <v>21</v>
      </c>
      <c r="F24" s="1" t="s">
        <v>73</v>
      </c>
      <c r="G24" s="1" t="s">
        <v>21</v>
      </c>
      <c r="H24" s="1" t="s">
        <v>21</v>
      </c>
      <c r="I24" s="1" t="s">
        <v>21</v>
      </c>
    </row>
    <row r="25" spans="1:9" ht="59" hidden="1" x14ac:dyDescent="0.75">
      <c r="A25" s="1" t="s">
        <v>74</v>
      </c>
      <c r="B25" s="1" t="s">
        <v>28</v>
      </c>
      <c r="C25" s="1" t="s">
        <v>45</v>
      </c>
      <c r="D25" s="1" t="s">
        <v>30</v>
      </c>
      <c r="E25" s="1" t="s">
        <v>21</v>
      </c>
      <c r="F25" s="1" t="s">
        <v>21</v>
      </c>
      <c r="G25" s="1" t="s">
        <v>21</v>
      </c>
      <c r="H25" s="1" t="s">
        <v>21</v>
      </c>
      <c r="I25" s="1" t="s">
        <v>21</v>
      </c>
    </row>
    <row r="26" spans="1:9" ht="59" hidden="1" x14ac:dyDescent="0.75">
      <c r="A26" s="1" t="s">
        <v>75</v>
      </c>
      <c r="B26" s="1" t="s">
        <v>23</v>
      </c>
      <c r="C26" s="1" t="s">
        <v>29</v>
      </c>
      <c r="D26" s="1" t="s">
        <v>57</v>
      </c>
      <c r="E26" s="1" t="s">
        <v>21</v>
      </c>
      <c r="F26" s="1" t="s">
        <v>21</v>
      </c>
      <c r="G26" s="1" t="s">
        <v>21</v>
      </c>
      <c r="H26" s="1" t="s">
        <v>21</v>
      </c>
      <c r="I26" s="1" t="s">
        <v>21</v>
      </c>
    </row>
    <row r="27" spans="1:9" ht="59" hidden="1" x14ac:dyDescent="0.75">
      <c r="A27" s="1" t="s">
        <v>76</v>
      </c>
      <c r="B27" s="1" t="s">
        <v>35</v>
      </c>
      <c r="C27" s="1" t="s">
        <v>29</v>
      </c>
      <c r="D27" s="1" t="s">
        <v>57</v>
      </c>
      <c r="E27" s="1" t="s">
        <v>21</v>
      </c>
      <c r="F27" s="1" t="s">
        <v>21</v>
      </c>
      <c r="G27" s="1" t="s">
        <v>21</v>
      </c>
      <c r="H27" s="1" t="s">
        <v>21</v>
      </c>
      <c r="I27" s="1" t="s">
        <v>21</v>
      </c>
    </row>
    <row r="28" spans="1:9" ht="59" hidden="1" x14ac:dyDescent="0.75">
      <c r="A28" s="1" t="s">
        <v>77</v>
      </c>
      <c r="B28" s="1" t="s">
        <v>28</v>
      </c>
      <c r="C28" s="1" t="s">
        <v>45</v>
      </c>
      <c r="D28" s="1" t="s">
        <v>30</v>
      </c>
      <c r="E28" s="1" t="s">
        <v>21</v>
      </c>
      <c r="F28" s="1" t="s">
        <v>21</v>
      </c>
      <c r="G28" s="1" t="s">
        <v>21</v>
      </c>
      <c r="H28" s="1" t="s">
        <v>21</v>
      </c>
      <c r="I28" s="1" t="s">
        <v>21</v>
      </c>
    </row>
    <row r="29" spans="1:9" ht="59" hidden="1" x14ac:dyDescent="0.75">
      <c r="A29" s="1" t="s">
        <v>78</v>
      </c>
      <c r="B29" s="1" t="s">
        <v>23</v>
      </c>
      <c r="C29" s="1" t="s">
        <v>29</v>
      </c>
      <c r="D29" s="1" t="s">
        <v>57</v>
      </c>
      <c r="E29" s="1" t="s">
        <v>21</v>
      </c>
      <c r="F29" s="1" t="s">
        <v>21</v>
      </c>
      <c r="G29" s="1" t="s">
        <v>21</v>
      </c>
      <c r="H29" s="1" t="s">
        <v>21</v>
      </c>
      <c r="I29" s="1" t="s">
        <v>21</v>
      </c>
    </row>
    <row r="30" spans="1:9" ht="88.5" hidden="1" x14ac:dyDescent="0.75">
      <c r="A30" s="1" t="s">
        <v>79</v>
      </c>
      <c r="B30" s="1" t="s">
        <v>23</v>
      </c>
      <c r="C30" s="1" t="s">
        <v>32</v>
      </c>
      <c r="D30" s="1" t="s">
        <v>61</v>
      </c>
      <c r="E30" s="1" t="s">
        <v>21</v>
      </c>
      <c r="F30" s="1" t="s">
        <v>21</v>
      </c>
      <c r="G30" s="1" t="s">
        <v>21</v>
      </c>
      <c r="H30" s="1" t="s">
        <v>21</v>
      </c>
      <c r="I30" s="1" t="s">
        <v>21</v>
      </c>
    </row>
    <row r="31" spans="1:9" ht="59" x14ac:dyDescent="0.75">
      <c r="A31" s="1" t="s">
        <v>80</v>
      </c>
      <c r="B31" s="1" t="s">
        <v>28</v>
      </c>
      <c r="C31" s="1" t="s">
        <v>29</v>
      </c>
      <c r="D31" s="1" t="s">
        <v>81</v>
      </c>
      <c r="E31" s="1" t="s">
        <v>21</v>
      </c>
      <c r="F31" s="1" t="s">
        <v>21</v>
      </c>
      <c r="G31" s="1" t="s">
        <v>21</v>
      </c>
      <c r="H31" s="1" t="s">
        <v>21</v>
      </c>
      <c r="I31" s="1" t="s">
        <v>82</v>
      </c>
    </row>
    <row r="32" spans="1:9" ht="103.25" hidden="1" x14ac:dyDescent="0.75">
      <c r="A32" s="1" t="s">
        <v>83</v>
      </c>
      <c r="B32" s="1" t="s">
        <v>23</v>
      </c>
      <c r="C32" s="1" t="s">
        <v>32</v>
      </c>
      <c r="D32" s="1" t="s">
        <v>33</v>
      </c>
      <c r="E32" s="1" t="s">
        <v>21</v>
      </c>
      <c r="F32" s="1" t="s">
        <v>84</v>
      </c>
      <c r="G32" s="1" t="s">
        <v>21</v>
      </c>
      <c r="H32" s="1" t="s">
        <v>21</v>
      </c>
      <c r="I32" s="1" t="s">
        <v>21</v>
      </c>
    </row>
    <row r="33" spans="1:9" ht="88.5" hidden="1" x14ac:dyDescent="0.75">
      <c r="A33" s="1" t="s">
        <v>85</v>
      </c>
      <c r="B33" s="1" t="s">
        <v>23</v>
      </c>
      <c r="C33" s="1" t="s">
        <v>29</v>
      </c>
      <c r="D33" s="1" t="s">
        <v>57</v>
      </c>
      <c r="E33" s="1" t="s">
        <v>21</v>
      </c>
      <c r="F33" s="1" t="s">
        <v>21</v>
      </c>
      <c r="G33" s="1" t="s">
        <v>21</v>
      </c>
      <c r="H33" s="1" t="s">
        <v>86</v>
      </c>
      <c r="I33" s="1" t="s">
        <v>21</v>
      </c>
    </row>
    <row r="34" spans="1:9" ht="59" hidden="1" x14ac:dyDescent="0.75">
      <c r="A34" s="1" t="s">
        <v>87</v>
      </c>
      <c r="B34" s="1" t="s">
        <v>23</v>
      </c>
      <c r="C34" s="1" t="s">
        <v>24</v>
      </c>
      <c r="D34" s="1" t="s">
        <v>88</v>
      </c>
      <c r="E34" s="1" t="s">
        <v>89</v>
      </c>
      <c r="F34" s="1" t="s">
        <v>21</v>
      </c>
      <c r="G34" s="1" t="s">
        <v>21</v>
      </c>
      <c r="H34" s="1" t="s">
        <v>21</v>
      </c>
      <c r="I34" s="1" t="s">
        <v>21</v>
      </c>
    </row>
    <row r="35" spans="1:9" ht="59" hidden="1" x14ac:dyDescent="0.75">
      <c r="A35" s="1" t="s">
        <v>90</v>
      </c>
      <c r="B35" s="1" t="s">
        <v>28</v>
      </c>
      <c r="C35" s="1" t="s">
        <v>29</v>
      </c>
      <c r="D35" s="1" t="s">
        <v>30</v>
      </c>
      <c r="E35" s="1" t="s">
        <v>21</v>
      </c>
      <c r="F35" s="1" t="s">
        <v>21</v>
      </c>
      <c r="G35" s="1" t="s">
        <v>21</v>
      </c>
      <c r="H35" s="1" t="s">
        <v>21</v>
      </c>
      <c r="I35" s="1" t="s">
        <v>21</v>
      </c>
    </row>
    <row r="36" spans="1:9" ht="59" hidden="1" x14ac:dyDescent="0.75">
      <c r="A36" s="1" t="s">
        <v>91</v>
      </c>
      <c r="B36" s="1" t="s">
        <v>28</v>
      </c>
      <c r="C36" s="1" t="s">
        <v>29</v>
      </c>
      <c r="D36" s="1" t="s">
        <v>57</v>
      </c>
      <c r="E36" s="1" t="s">
        <v>21</v>
      </c>
      <c r="F36" s="1" t="s">
        <v>21</v>
      </c>
      <c r="G36" s="1" t="s">
        <v>92</v>
      </c>
      <c r="H36" s="1" t="s">
        <v>21</v>
      </c>
      <c r="I36" s="1" t="s">
        <v>21</v>
      </c>
    </row>
    <row r="37" spans="1:9" ht="88.5" hidden="1" x14ac:dyDescent="0.75">
      <c r="A37" s="1" t="s">
        <v>93</v>
      </c>
      <c r="B37" s="1" t="s">
        <v>23</v>
      </c>
      <c r="C37" s="1" t="s">
        <v>32</v>
      </c>
      <c r="D37" s="1" t="s">
        <v>51</v>
      </c>
      <c r="E37" s="1" t="s">
        <v>21</v>
      </c>
      <c r="F37" s="1" t="s">
        <v>21</v>
      </c>
      <c r="G37" s="1" t="s">
        <v>21</v>
      </c>
      <c r="H37" s="1" t="s">
        <v>21</v>
      </c>
      <c r="I37" s="1" t="s">
        <v>21</v>
      </c>
    </row>
    <row r="38" spans="1:9" ht="59" hidden="1" x14ac:dyDescent="0.75">
      <c r="A38" s="1" t="s">
        <v>94</v>
      </c>
      <c r="B38" s="1" t="s">
        <v>28</v>
      </c>
      <c r="C38" s="1" t="s">
        <v>19</v>
      </c>
      <c r="D38" s="1" t="s">
        <v>40</v>
      </c>
      <c r="E38" s="1" t="s">
        <v>21</v>
      </c>
      <c r="F38" s="1" t="s">
        <v>21</v>
      </c>
      <c r="G38" s="1" t="s">
        <v>21</v>
      </c>
      <c r="H38" s="1" t="s">
        <v>21</v>
      </c>
      <c r="I38" s="1" t="s">
        <v>21</v>
      </c>
    </row>
    <row r="39" spans="1:9" ht="59" hidden="1" x14ac:dyDescent="0.75">
      <c r="A39" s="1" t="s">
        <v>95</v>
      </c>
      <c r="B39" s="1" t="s">
        <v>23</v>
      </c>
      <c r="C39" s="1" t="s">
        <v>29</v>
      </c>
      <c r="D39" s="1" t="s">
        <v>54</v>
      </c>
      <c r="E39" s="1" t="s">
        <v>21</v>
      </c>
      <c r="F39" s="1" t="s">
        <v>21</v>
      </c>
      <c r="G39" s="1" t="s">
        <v>21</v>
      </c>
      <c r="H39" s="1" t="s">
        <v>21</v>
      </c>
      <c r="I39" s="1" t="s">
        <v>21</v>
      </c>
    </row>
    <row r="40" spans="1:9" ht="59" hidden="1" x14ac:dyDescent="0.75">
      <c r="A40" s="1" t="s">
        <v>96</v>
      </c>
      <c r="B40" s="1" t="s">
        <v>97</v>
      </c>
      <c r="C40" s="1" t="s">
        <v>24</v>
      </c>
      <c r="D40" s="1" t="s">
        <v>98</v>
      </c>
      <c r="E40" s="1" t="s">
        <v>99</v>
      </c>
      <c r="F40" s="1" t="s">
        <v>21</v>
      </c>
      <c r="G40" s="1" t="s">
        <v>21</v>
      </c>
      <c r="H40" s="1" t="s">
        <v>21</v>
      </c>
      <c r="I40" s="1" t="s">
        <v>21</v>
      </c>
    </row>
    <row r="41" spans="1:9" ht="59" hidden="1" x14ac:dyDescent="0.75">
      <c r="A41" s="1" t="s">
        <v>100</v>
      </c>
      <c r="B41" s="1" t="s">
        <v>18</v>
      </c>
      <c r="C41" s="1" t="s">
        <v>29</v>
      </c>
      <c r="D41" s="1" t="s">
        <v>98</v>
      </c>
      <c r="E41" s="1" t="s">
        <v>21</v>
      </c>
      <c r="F41" s="1" t="s">
        <v>21</v>
      </c>
      <c r="G41" s="1" t="s">
        <v>101</v>
      </c>
      <c r="H41" s="1" t="s">
        <v>21</v>
      </c>
      <c r="I41" s="1" t="s">
        <v>21</v>
      </c>
    </row>
    <row r="42" spans="1:9" ht="59" hidden="1" x14ac:dyDescent="0.75">
      <c r="A42" s="1" t="s">
        <v>102</v>
      </c>
      <c r="B42" s="1" t="s">
        <v>103</v>
      </c>
      <c r="C42" s="1" t="s">
        <v>45</v>
      </c>
      <c r="D42" s="1" t="s">
        <v>51</v>
      </c>
      <c r="E42" s="1" t="s">
        <v>104</v>
      </c>
      <c r="F42" s="1" t="s">
        <v>21</v>
      </c>
      <c r="G42" s="1" t="s">
        <v>21</v>
      </c>
      <c r="H42" s="1" t="s">
        <v>21</v>
      </c>
      <c r="I42" s="1" t="s">
        <v>21</v>
      </c>
    </row>
    <row r="43" spans="1:9" ht="59" hidden="1" x14ac:dyDescent="0.75">
      <c r="A43" s="1" t="s">
        <v>105</v>
      </c>
      <c r="B43" s="1" t="s">
        <v>35</v>
      </c>
      <c r="C43" s="1" t="s">
        <v>24</v>
      </c>
      <c r="D43" s="1" t="s">
        <v>47</v>
      </c>
      <c r="E43" s="1" t="s">
        <v>21</v>
      </c>
      <c r="F43" s="1" t="s">
        <v>21</v>
      </c>
      <c r="G43" s="1" t="s">
        <v>106</v>
      </c>
      <c r="H43" s="1" t="s">
        <v>21</v>
      </c>
      <c r="I43" s="1" t="s">
        <v>21</v>
      </c>
    </row>
    <row r="44" spans="1:9" ht="59" x14ac:dyDescent="0.75">
      <c r="A44" s="1" t="s">
        <v>107</v>
      </c>
      <c r="B44" s="1" t="s">
        <v>18</v>
      </c>
      <c r="C44" s="1" t="s">
        <v>29</v>
      </c>
      <c r="D44" s="1" t="s">
        <v>51</v>
      </c>
      <c r="E44" s="1" t="s">
        <v>21</v>
      </c>
      <c r="F44" s="1" t="s">
        <v>21</v>
      </c>
      <c r="G44" s="1" t="s">
        <v>21</v>
      </c>
      <c r="H44" s="1" t="s">
        <v>21</v>
      </c>
      <c r="I44" s="1" t="s">
        <v>108</v>
      </c>
    </row>
    <row r="45" spans="1:9" ht="103.25" hidden="1" x14ac:dyDescent="0.75">
      <c r="A45" s="1" t="s">
        <v>109</v>
      </c>
      <c r="B45" s="1" t="s">
        <v>28</v>
      </c>
      <c r="C45" s="1" t="s">
        <v>29</v>
      </c>
      <c r="D45" s="1" t="s">
        <v>33</v>
      </c>
      <c r="E45" s="1" t="s">
        <v>21</v>
      </c>
      <c r="F45" s="1" t="s">
        <v>21</v>
      </c>
      <c r="G45" s="1" t="s">
        <v>21</v>
      </c>
      <c r="H45" s="1" t="s">
        <v>21</v>
      </c>
      <c r="I45" s="1" t="s">
        <v>21</v>
      </c>
    </row>
    <row r="46" spans="1:9" ht="59" hidden="1" x14ac:dyDescent="0.75">
      <c r="A46" s="1" t="s">
        <v>110</v>
      </c>
      <c r="B46" s="1" t="s">
        <v>28</v>
      </c>
      <c r="C46" s="1" t="s">
        <v>24</v>
      </c>
      <c r="D46" s="1" t="s">
        <v>30</v>
      </c>
      <c r="E46" s="1" t="s">
        <v>21</v>
      </c>
      <c r="F46" s="1" t="s">
        <v>111</v>
      </c>
      <c r="G46" s="1" t="s">
        <v>21</v>
      </c>
      <c r="H46" s="1" t="s">
        <v>21</v>
      </c>
      <c r="I46" s="1" t="s">
        <v>21</v>
      </c>
    </row>
    <row r="47" spans="1:9" ht="59" hidden="1" x14ac:dyDescent="0.75">
      <c r="A47" s="1" t="s">
        <v>112</v>
      </c>
      <c r="B47" s="1" t="s">
        <v>23</v>
      </c>
      <c r="C47" s="1" t="s">
        <v>29</v>
      </c>
      <c r="D47" s="1" t="s">
        <v>61</v>
      </c>
      <c r="E47" s="1" t="s">
        <v>21</v>
      </c>
      <c r="F47" s="1" t="s">
        <v>21</v>
      </c>
      <c r="G47" s="1" t="s">
        <v>21</v>
      </c>
      <c r="H47" s="1" t="s">
        <v>21</v>
      </c>
      <c r="I47" s="1" t="s">
        <v>21</v>
      </c>
    </row>
    <row r="48" spans="1:9" ht="88.5" hidden="1" x14ac:dyDescent="0.75">
      <c r="A48" s="1" t="s">
        <v>113</v>
      </c>
      <c r="B48" s="1" t="s">
        <v>23</v>
      </c>
      <c r="C48" s="1" t="s">
        <v>32</v>
      </c>
      <c r="D48" s="1" t="s">
        <v>30</v>
      </c>
      <c r="E48" s="1" t="s">
        <v>21</v>
      </c>
      <c r="F48" s="1" t="s">
        <v>21</v>
      </c>
      <c r="G48" s="1" t="s">
        <v>21</v>
      </c>
      <c r="H48" s="1" t="s">
        <v>21</v>
      </c>
      <c r="I48" s="1" t="s">
        <v>21</v>
      </c>
    </row>
    <row r="49" spans="1:9" ht="59" hidden="1" x14ac:dyDescent="0.75">
      <c r="A49" s="1" t="s">
        <v>114</v>
      </c>
      <c r="B49" s="1" t="s">
        <v>18</v>
      </c>
      <c r="C49" s="1" t="s">
        <v>45</v>
      </c>
      <c r="D49" s="1" t="s">
        <v>115</v>
      </c>
      <c r="E49" s="1" t="s">
        <v>21</v>
      </c>
      <c r="F49" s="1" t="s">
        <v>21</v>
      </c>
      <c r="G49" s="1" t="s">
        <v>21</v>
      </c>
      <c r="H49" s="1" t="s">
        <v>21</v>
      </c>
      <c r="I49" s="1" t="s">
        <v>21</v>
      </c>
    </row>
    <row r="50" spans="1:9" ht="59" hidden="1" x14ac:dyDescent="0.75">
      <c r="A50" s="1" t="s">
        <v>116</v>
      </c>
      <c r="B50" s="1" t="s">
        <v>18</v>
      </c>
      <c r="C50" s="1" t="s">
        <v>45</v>
      </c>
      <c r="D50" s="1" t="s">
        <v>57</v>
      </c>
      <c r="E50" s="1" t="s">
        <v>21</v>
      </c>
      <c r="F50" s="1" t="s">
        <v>21</v>
      </c>
      <c r="G50" s="1" t="s">
        <v>21</v>
      </c>
      <c r="H50" s="1" t="s">
        <v>21</v>
      </c>
      <c r="I50" s="1" t="s">
        <v>21</v>
      </c>
    </row>
    <row r="51" spans="1:9" ht="59" hidden="1" x14ac:dyDescent="0.75">
      <c r="A51" s="1" t="s">
        <v>117</v>
      </c>
      <c r="B51" s="1" t="s">
        <v>18</v>
      </c>
      <c r="C51" s="1" t="s">
        <v>29</v>
      </c>
      <c r="D51" s="1" t="s">
        <v>57</v>
      </c>
      <c r="E51" s="1" t="s">
        <v>21</v>
      </c>
      <c r="F51" s="1" t="s">
        <v>21</v>
      </c>
      <c r="G51" s="1" t="s">
        <v>21</v>
      </c>
      <c r="H51" s="1" t="s">
        <v>118</v>
      </c>
      <c r="I51" s="1" t="s">
        <v>21</v>
      </c>
    </row>
    <row r="52" spans="1:9" ht="88.5" hidden="1" x14ac:dyDescent="0.75">
      <c r="A52" s="1" t="s">
        <v>119</v>
      </c>
      <c r="B52" s="1" t="s">
        <v>23</v>
      </c>
      <c r="C52" s="1" t="s">
        <v>32</v>
      </c>
      <c r="D52" s="1" t="s">
        <v>81</v>
      </c>
      <c r="E52" s="1" t="s">
        <v>21</v>
      </c>
      <c r="F52" s="1" t="s">
        <v>21</v>
      </c>
      <c r="G52" s="1" t="s">
        <v>21</v>
      </c>
      <c r="H52" s="1" t="s">
        <v>21</v>
      </c>
      <c r="I52" s="1" t="s">
        <v>21</v>
      </c>
    </row>
    <row r="53" spans="1:9" ht="59" hidden="1" x14ac:dyDescent="0.75">
      <c r="A53" s="1" t="s">
        <v>120</v>
      </c>
      <c r="B53" s="1" t="s">
        <v>28</v>
      </c>
      <c r="C53" s="1" t="s">
        <v>29</v>
      </c>
      <c r="D53" s="1" t="s">
        <v>63</v>
      </c>
      <c r="E53" s="1" t="s">
        <v>21</v>
      </c>
      <c r="F53" s="1" t="s">
        <v>21</v>
      </c>
      <c r="G53" s="1" t="s">
        <v>21</v>
      </c>
      <c r="H53" s="1" t="s">
        <v>21</v>
      </c>
      <c r="I53" s="1" t="s">
        <v>21</v>
      </c>
    </row>
    <row r="54" spans="1:9" ht="88.5" hidden="1" x14ac:dyDescent="0.75">
      <c r="A54" s="1" t="s">
        <v>121</v>
      </c>
      <c r="B54" s="1" t="s">
        <v>35</v>
      </c>
      <c r="C54" s="1" t="s">
        <v>122</v>
      </c>
      <c r="D54" s="1" t="s">
        <v>61</v>
      </c>
      <c r="E54" s="1" t="s">
        <v>123</v>
      </c>
      <c r="F54" s="1" t="s">
        <v>21</v>
      </c>
      <c r="G54" s="1" t="s">
        <v>21</v>
      </c>
      <c r="H54" s="1" t="s">
        <v>21</v>
      </c>
      <c r="I54" s="1" t="s">
        <v>21</v>
      </c>
    </row>
    <row r="55" spans="1:9" ht="59" x14ac:dyDescent="0.75">
      <c r="A55" s="1" t="s">
        <v>124</v>
      </c>
      <c r="B55" s="1" t="s">
        <v>97</v>
      </c>
      <c r="C55" s="1" t="s">
        <v>29</v>
      </c>
      <c r="D55" s="1" t="s">
        <v>63</v>
      </c>
      <c r="E55" s="1" t="s">
        <v>21</v>
      </c>
      <c r="F55" s="1" t="s">
        <v>21</v>
      </c>
      <c r="G55" s="1" t="s">
        <v>21</v>
      </c>
      <c r="H55" s="1" t="s">
        <v>21</v>
      </c>
      <c r="I55" s="1" t="s">
        <v>125</v>
      </c>
    </row>
    <row r="56" spans="1:9" ht="88.5" hidden="1" x14ac:dyDescent="0.75">
      <c r="A56" s="1" t="s">
        <v>126</v>
      </c>
      <c r="B56" s="1" t="s">
        <v>23</v>
      </c>
      <c r="C56" s="1" t="s">
        <v>36</v>
      </c>
      <c r="D56" s="1" t="s">
        <v>127</v>
      </c>
      <c r="E56" s="1" t="s">
        <v>21</v>
      </c>
      <c r="F56" s="1" t="s">
        <v>21</v>
      </c>
      <c r="G56" s="1" t="s">
        <v>21</v>
      </c>
      <c r="H56" s="1" t="s">
        <v>21</v>
      </c>
      <c r="I56" s="1" t="s">
        <v>21</v>
      </c>
    </row>
    <row r="57" spans="1:9" ht="88.5" hidden="1" x14ac:dyDescent="0.75">
      <c r="A57" s="1" t="s">
        <v>128</v>
      </c>
      <c r="B57" s="1" t="s">
        <v>28</v>
      </c>
      <c r="C57" s="1" t="s">
        <v>32</v>
      </c>
      <c r="D57" s="1" t="s">
        <v>61</v>
      </c>
      <c r="E57" s="1" t="s">
        <v>21</v>
      </c>
      <c r="F57" s="1" t="s">
        <v>21</v>
      </c>
      <c r="G57" s="1" t="s">
        <v>21</v>
      </c>
      <c r="H57" s="1" t="s">
        <v>21</v>
      </c>
      <c r="I57" s="1" t="s">
        <v>21</v>
      </c>
    </row>
    <row r="58" spans="1:9" ht="59" hidden="1" x14ac:dyDescent="0.75">
      <c r="A58" s="1" t="s">
        <v>129</v>
      </c>
      <c r="B58" s="1" t="s">
        <v>23</v>
      </c>
      <c r="C58" s="1" t="s">
        <v>24</v>
      </c>
      <c r="D58" s="1" t="s">
        <v>30</v>
      </c>
      <c r="E58" s="1" t="s">
        <v>21</v>
      </c>
      <c r="F58" s="1" t="s">
        <v>130</v>
      </c>
      <c r="G58" s="1" t="s">
        <v>21</v>
      </c>
      <c r="H58" s="1" t="s">
        <v>21</v>
      </c>
      <c r="I58" s="1" t="s">
        <v>21</v>
      </c>
    </row>
    <row r="59" spans="1:9" ht="88.5" hidden="1" x14ac:dyDescent="0.75">
      <c r="A59" s="1" t="s">
        <v>131</v>
      </c>
      <c r="B59" s="1" t="s">
        <v>97</v>
      </c>
      <c r="C59" s="1" t="s">
        <v>32</v>
      </c>
      <c r="D59" s="1" t="s">
        <v>47</v>
      </c>
      <c r="E59" s="1" t="s">
        <v>21</v>
      </c>
      <c r="F59" s="1" t="s">
        <v>21</v>
      </c>
      <c r="G59" s="1" t="s">
        <v>21</v>
      </c>
      <c r="H59" s="1" t="s">
        <v>132</v>
      </c>
      <c r="I59" s="1" t="s">
        <v>21</v>
      </c>
    </row>
    <row r="60" spans="1:9" ht="59" hidden="1" x14ac:dyDescent="0.75">
      <c r="A60" s="1" t="s">
        <v>133</v>
      </c>
      <c r="B60" s="1" t="s">
        <v>134</v>
      </c>
      <c r="C60" s="1" t="s">
        <v>24</v>
      </c>
      <c r="D60" s="1" t="s">
        <v>47</v>
      </c>
      <c r="E60" s="1" t="s">
        <v>21</v>
      </c>
      <c r="F60" s="1" t="s">
        <v>21</v>
      </c>
      <c r="G60" s="1" t="s">
        <v>21</v>
      </c>
      <c r="H60" s="1" t="s">
        <v>21</v>
      </c>
      <c r="I60" s="1" t="s">
        <v>21</v>
      </c>
    </row>
    <row r="61" spans="1:9" ht="59" hidden="1" x14ac:dyDescent="0.75">
      <c r="A61" s="1" t="s">
        <v>135</v>
      </c>
      <c r="B61" s="1" t="s">
        <v>103</v>
      </c>
      <c r="C61" s="1" t="s">
        <v>29</v>
      </c>
      <c r="D61" s="1" t="s">
        <v>136</v>
      </c>
      <c r="E61" s="1" t="s">
        <v>21</v>
      </c>
      <c r="F61" s="1" t="s">
        <v>21</v>
      </c>
      <c r="G61" s="1" t="s">
        <v>21</v>
      </c>
      <c r="H61" s="1" t="s">
        <v>21</v>
      </c>
      <c r="I61" s="1" t="s">
        <v>21</v>
      </c>
    </row>
    <row r="62" spans="1:9" ht="59" hidden="1" x14ac:dyDescent="0.75">
      <c r="A62" s="1" t="s">
        <v>137</v>
      </c>
      <c r="B62" s="1" t="s">
        <v>28</v>
      </c>
      <c r="C62" s="1" t="s">
        <v>24</v>
      </c>
      <c r="D62" s="1" t="s">
        <v>98</v>
      </c>
      <c r="E62" s="1" t="s">
        <v>21</v>
      </c>
      <c r="F62" s="1" t="s">
        <v>21</v>
      </c>
      <c r="G62" s="1" t="s">
        <v>138</v>
      </c>
      <c r="H62" s="1" t="s">
        <v>21</v>
      </c>
      <c r="I62" s="1" t="s">
        <v>21</v>
      </c>
    </row>
    <row r="63" spans="1:9" ht="88.5" hidden="1" x14ac:dyDescent="0.75">
      <c r="A63" s="1" t="s">
        <v>139</v>
      </c>
      <c r="B63" s="1" t="s">
        <v>23</v>
      </c>
      <c r="C63" s="1" t="s">
        <v>32</v>
      </c>
      <c r="D63" s="1" t="s">
        <v>30</v>
      </c>
      <c r="E63" s="1" t="s">
        <v>21</v>
      </c>
      <c r="F63" s="1" t="s">
        <v>21</v>
      </c>
      <c r="G63" s="1" t="s">
        <v>21</v>
      </c>
      <c r="H63" s="1" t="s">
        <v>140</v>
      </c>
      <c r="I63" s="1" t="s">
        <v>21</v>
      </c>
    </row>
    <row r="64" spans="1:9" ht="73.75" hidden="1" x14ac:dyDescent="0.75">
      <c r="A64" s="1" t="s">
        <v>141</v>
      </c>
      <c r="B64" s="1" t="s">
        <v>18</v>
      </c>
      <c r="C64" s="1" t="s">
        <v>19</v>
      </c>
      <c r="D64" s="1" t="s">
        <v>66</v>
      </c>
      <c r="E64" s="1" t="s">
        <v>21</v>
      </c>
      <c r="F64" s="1" t="s">
        <v>21</v>
      </c>
      <c r="G64" s="1" t="s">
        <v>142</v>
      </c>
      <c r="H64" s="1" t="s">
        <v>21</v>
      </c>
      <c r="I64" s="1" t="s">
        <v>21</v>
      </c>
    </row>
    <row r="65" spans="1:9" ht="59" hidden="1" x14ac:dyDescent="0.75">
      <c r="A65" s="1" t="s">
        <v>143</v>
      </c>
      <c r="B65" s="1" t="s">
        <v>103</v>
      </c>
      <c r="C65" s="1" t="s">
        <v>29</v>
      </c>
      <c r="D65" s="1" t="s">
        <v>81</v>
      </c>
      <c r="E65" s="1" t="s">
        <v>21</v>
      </c>
      <c r="F65" s="1" t="s">
        <v>21</v>
      </c>
      <c r="G65" s="1" t="s">
        <v>21</v>
      </c>
      <c r="H65" s="1" t="s">
        <v>21</v>
      </c>
      <c r="I65" s="1" t="s">
        <v>21</v>
      </c>
    </row>
    <row r="66" spans="1:9" ht="59" hidden="1" x14ac:dyDescent="0.75">
      <c r="A66" s="1" t="s">
        <v>144</v>
      </c>
      <c r="B66" s="1" t="s">
        <v>23</v>
      </c>
      <c r="C66" s="1" t="s">
        <v>19</v>
      </c>
      <c r="D66" s="1" t="s">
        <v>57</v>
      </c>
      <c r="E66" s="1" t="s">
        <v>21</v>
      </c>
      <c r="F66" s="1" t="s">
        <v>21</v>
      </c>
      <c r="G66" s="1" t="s">
        <v>21</v>
      </c>
      <c r="H66" s="1" t="s">
        <v>145</v>
      </c>
      <c r="I66" s="1" t="s">
        <v>21</v>
      </c>
    </row>
    <row r="67" spans="1:9" ht="59" hidden="1" x14ac:dyDescent="0.75">
      <c r="A67" s="1" t="s">
        <v>146</v>
      </c>
      <c r="B67" s="1" t="s">
        <v>23</v>
      </c>
      <c r="C67" s="1" t="s">
        <v>19</v>
      </c>
      <c r="D67" s="1" t="s">
        <v>61</v>
      </c>
      <c r="E67" s="1" t="s">
        <v>21</v>
      </c>
      <c r="F67" s="1" t="s">
        <v>21</v>
      </c>
      <c r="G67" s="1" t="s">
        <v>147</v>
      </c>
      <c r="H67" s="1" t="s">
        <v>21</v>
      </c>
      <c r="I67" s="1" t="s">
        <v>21</v>
      </c>
    </row>
    <row r="68" spans="1:9" ht="59" x14ac:dyDescent="0.75">
      <c r="A68" s="1" t="s">
        <v>148</v>
      </c>
      <c r="B68" s="1" t="s">
        <v>28</v>
      </c>
      <c r="C68" s="1" t="s">
        <v>24</v>
      </c>
      <c r="D68" s="1" t="s">
        <v>54</v>
      </c>
      <c r="E68" s="1" t="s">
        <v>21</v>
      </c>
      <c r="F68" s="1" t="s">
        <v>21</v>
      </c>
      <c r="G68" s="1" t="s">
        <v>21</v>
      </c>
      <c r="H68" s="1" t="s">
        <v>21</v>
      </c>
      <c r="I68" s="1" t="s">
        <v>149</v>
      </c>
    </row>
    <row r="69" spans="1:9" ht="59" hidden="1" x14ac:dyDescent="0.75">
      <c r="A69" s="1" t="s">
        <v>150</v>
      </c>
      <c r="B69" s="1" t="s">
        <v>18</v>
      </c>
      <c r="C69" s="1" t="s">
        <v>19</v>
      </c>
      <c r="D69" s="1" t="s">
        <v>57</v>
      </c>
      <c r="E69" s="1" t="s">
        <v>21</v>
      </c>
      <c r="F69" s="1" t="s">
        <v>21</v>
      </c>
      <c r="G69" s="1" t="s">
        <v>21</v>
      </c>
      <c r="H69" s="1" t="s">
        <v>21</v>
      </c>
      <c r="I69" s="1" t="s">
        <v>21</v>
      </c>
    </row>
    <row r="70" spans="1:9" ht="59" hidden="1" x14ac:dyDescent="0.75">
      <c r="A70" s="1" t="s">
        <v>151</v>
      </c>
      <c r="B70" s="1" t="s">
        <v>103</v>
      </c>
      <c r="C70" s="1" t="s">
        <v>19</v>
      </c>
      <c r="D70" s="1" t="s">
        <v>57</v>
      </c>
      <c r="E70" s="1" t="s">
        <v>21</v>
      </c>
      <c r="F70" s="1" t="s">
        <v>21</v>
      </c>
      <c r="G70" s="1" t="s">
        <v>152</v>
      </c>
      <c r="H70" s="1" t="s">
        <v>21</v>
      </c>
      <c r="I70" s="1" t="s">
        <v>21</v>
      </c>
    </row>
    <row r="71" spans="1:9" ht="88.5" hidden="1" x14ac:dyDescent="0.75">
      <c r="A71" s="1" t="s">
        <v>153</v>
      </c>
      <c r="B71" s="1" t="s">
        <v>103</v>
      </c>
      <c r="C71" s="1" t="s">
        <v>36</v>
      </c>
      <c r="D71" s="1" t="s">
        <v>20</v>
      </c>
      <c r="E71" s="1" t="s">
        <v>21</v>
      </c>
      <c r="F71" s="1" t="s">
        <v>21</v>
      </c>
      <c r="G71" s="1" t="s">
        <v>21</v>
      </c>
      <c r="H71" s="1" t="s">
        <v>21</v>
      </c>
      <c r="I71" s="1" t="s">
        <v>21</v>
      </c>
    </row>
    <row r="72" spans="1:9" ht="59" hidden="1" x14ac:dyDescent="0.75">
      <c r="A72" s="1" t="s">
        <v>154</v>
      </c>
      <c r="B72" s="1" t="s">
        <v>28</v>
      </c>
      <c r="C72" s="1" t="s">
        <v>29</v>
      </c>
      <c r="D72" s="1" t="s">
        <v>57</v>
      </c>
      <c r="E72" s="1" t="s">
        <v>21</v>
      </c>
      <c r="F72" s="1" t="s">
        <v>155</v>
      </c>
      <c r="G72" s="1" t="s">
        <v>21</v>
      </c>
      <c r="H72" s="1" t="s">
        <v>21</v>
      </c>
      <c r="I72" s="1" t="s">
        <v>21</v>
      </c>
    </row>
    <row r="73" spans="1:9" ht="88.5" hidden="1" x14ac:dyDescent="0.75">
      <c r="A73" s="1" t="s">
        <v>156</v>
      </c>
      <c r="B73" s="1" t="s">
        <v>28</v>
      </c>
      <c r="C73" s="1" t="s">
        <v>36</v>
      </c>
      <c r="D73" s="1" t="s">
        <v>57</v>
      </c>
      <c r="E73" s="1" t="s">
        <v>21</v>
      </c>
      <c r="F73" s="1" t="s">
        <v>21</v>
      </c>
      <c r="G73" s="1" t="s">
        <v>21</v>
      </c>
      <c r="H73" s="1" t="s">
        <v>21</v>
      </c>
      <c r="I73" s="1" t="s">
        <v>21</v>
      </c>
    </row>
    <row r="74" spans="1:9" ht="88.5" x14ac:dyDescent="0.75">
      <c r="A74" s="1" t="s">
        <v>157</v>
      </c>
      <c r="B74" s="1" t="s">
        <v>23</v>
      </c>
      <c r="C74" s="1" t="s">
        <v>122</v>
      </c>
      <c r="D74" s="1" t="s">
        <v>136</v>
      </c>
      <c r="E74" s="1" t="s">
        <v>21</v>
      </c>
      <c r="F74" s="1" t="s">
        <v>21</v>
      </c>
      <c r="G74" s="1" t="s">
        <v>21</v>
      </c>
      <c r="H74" s="1" t="s">
        <v>21</v>
      </c>
      <c r="I74" s="1" t="s">
        <v>158</v>
      </c>
    </row>
    <row r="75" spans="1:9" ht="103.25" hidden="1" x14ac:dyDescent="0.75">
      <c r="A75" s="1" t="s">
        <v>159</v>
      </c>
      <c r="B75" s="1" t="s">
        <v>23</v>
      </c>
      <c r="C75" s="1" t="s">
        <v>29</v>
      </c>
      <c r="D75" s="1" t="s">
        <v>33</v>
      </c>
      <c r="E75" s="1" t="s">
        <v>21</v>
      </c>
      <c r="F75" s="1" t="s">
        <v>21</v>
      </c>
      <c r="G75" s="1" t="s">
        <v>21</v>
      </c>
      <c r="H75" s="1" t="s">
        <v>21</v>
      </c>
      <c r="I75" s="1" t="s">
        <v>21</v>
      </c>
    </row>
    <row r="76" spans="1:9" ht="88.5" hidden="1" x14ac:dyDescent="0.75">
      <c r="A76" s="1" t="s">
        <v>160</v>
      </c>
      <c r="B76" s="1" t="s">
        <v>28</v>
      </c>
      <c r="C76" s="1" t="s">
        <v>36</v>
      </c>
      <c r="D76" s="1" t="s">
        <v>54</v>
      </c>
      <c r="E76" s="1" t="s">
        <v>21</v>
      </c>
      <c r="F76" s="1" t="s">
        <v>21</v>
      </c>
      <c r="G76" s="1" t="s">
        <v>21</v>
      </c>
      <c r="H76" s="1" t="s">
        <v>21</v>
      </c>
      <c r="I76" s="1" t="s">
        <v>21</v>
      </c>
    </row>
    <row r="77" spans="1:9" ht="162.25" hidden="1" x14ac:dyDescent="0.75">
      <c r="A77" s="1" t="s">
        <v>161</v>
      </c>
      <c r="B77" s="1" t="s">
        <v>23</v>
      </c>
      <c r="C77" s="1" t="s">
        <v>29</v>
      </c>
      <c r="D77" s="1" t="s">
        <v>136</v>
      </c>
      <c r="E77" s="1" t="s">
        <v>21</v>
      </c>
      <c r="F77" s="1" t="s">
        <v>21</v>
      </c>
      <c r="G77" s="1" t="s">
        <v>21</v>
      </c>
      <c r="H77" s="1" t="s">
        <v>162</v>
      </c>
      <c r="I77" s="1" t="s">
        <v>21</v>
      </c>
    </row>
    <row r="78" spans="1:9" ht="59" hidden="1" x14ac:dyDescent="0.75">
      <c r="A78" s="1" t="s">
        <v>163</v>
      </c>
      <c r="B78" s="1" t="s">
        <v>103</v>
      </c>
      <c r="C78" s="1" t="s">
        <v>29</v>
      </c>
      <c r="D78" s="1" t="s">
        <v>81</v>
      </c>
      <c r="E78" s="1" t="s">
        <v>21</v>
      </c>
      <c r="F78" s="1" t="s">
        <v>21</v>
      </c>
      <c r="G78" s="1" t="s">
        <v>21</v>
      </c>
      <c r="H78" s="1" t="s">
        <v>21</v>
      </c>
      <c r="I78" s="1" t="s">
        <v>21</v>
      </c>
    </row>
    <row r="79" spans="1:9" ht="88.5" hidden="1" x14ac:dyDescent="0.75">
      <c r="A79" s="1" t="s">
        <v>164</v>
      </c>
      <c r="B79" s="1" t="s">
        <v>23</v>
      </c>
      <c r="C79" s="1" t="s">
        <v>36</v>
      </c>
      <c r="D79" s="1" t="s">
        <v>38</v>
      </c>
      <c r="E79" s="1" t="s">
        <v>21</v>
      </c>
      <c r="F79" s="1" t="s">
        <v>21</v>
      </c>
      <c r="G79" s="1" t="s">
        <v>21</v>
      </c>
      <c r="H79" s="1" t="s">
        <v>21</v>
      </c>
      <c r="I79" s="1" t="s">
        <v>21</v>
      </c>
    </row>
    <row r="80" spans="1:9" ht="88.5" hidden="1" x14ac:dyDescent="0.75">
      <c r="A80" s="1" t="s">
        <v>165</v>
      </c>
      <c r="B80" s="1" t="s">
        <v>35</v>
      </c>
      <c r="C80" s="1" t="s">
        <v>36</v>
      </c>
      <c r="D80" s="1" t="s">
        <v>57</v>
      </c>
      <c r="E80" s="1" t="s">
        <v>21</v>
      </c>
      <c r="F80" s="1" t="s">
        <v>21</v>
      </c>
      <c r="G80" s="1" t="s">
        <v>21</v>
      </c>
      <c r="H80" s="1" t="s">
        <v>21</v>
      </c>
      <c r="I80" s="1" t="s">
        <v>21</v>
      </c>
    </row>
    <row r="81" spans="1:9" ht="59" hidden="1" x14ac:dyDescent="0.75">
      <c r="A81" s="1" t="s">
        <v>166</v>
      </c>
      <c r="B81" s="1" t="s">
        <v>103</v>
      </c>
      <c r="C81" s="1" t="s">
        <v>29</v>
      </c>
      <c r="D81" s="1" t="s">
        <v>20</v>
      </c>
      <c r="E81" s="1" t="s">
        <v>21</v>
      </c>
      <c r="F81" s="1" t="s">
        <v>167</v>
      </c>
      <c r="G81" s="1" t="s">
        <v>21</v>
      </c>
      <c r="H81" s="1" t="s">
        <v>21</v>
      </c>
      <c r="I81" s="1" t="s">
        <v>21</v>
      </c>
    </row>
    <row r="82" spans="1:9" ht="88.5" hidden="1" x14ac:dyDescent="0.75">
      <c r="A82" s="1" t="s">
        <v>168</v>
      </c>
      <c r="B82" s="1" t="s">
        <v>35</v>
      </c>
      <c r="C82" s="1" t="s">
        <v>32</v>
      </c>
      <c r="D82" s="1" t="s">
        <v>47</v>
      </c>
      <c r="E82" s="1" t="s">
        <v>169</v>
      </c>
      <c r="F82" s="1" t="s">
        <v>21</v>
      </c>
      <c r="G82" s="1" t="s">
        <v>21</v>
      </c>
      <c r="H82" s="1" t="s">
        <v>21</v>
      </c>
      <c r="I82" s="1" t="s">
        <v>21</v>
      </c>
    </row>
    <row r="83" spans="1:9" ht="88.5" hidden="1" x14ac:dyDescent="0.75">
      <c r="A83" s="1" t="s">
        <v>170</v>
      </c>
      <c r="B83" s="1" t="s">
        <v>103</v>
      </c>
      <c r="C83" s="1" t="s">
        <v>36</v>
      </c>
      <c r="D83" s="1" t="s">
        <v>51</v>
      </c>
      <c r="E83" s="1" t="s">
        <v>171</v>
      </c>
      <c r="F83" s="1" t="s">
        <v>21</v>
      </c>
      <c r="G83" s="1" t="s">
        <v>21</v>
      </c>
      <c r="H83" s="1" t="s">
        <v>21</v>
      </c>
      <c r="I83" s="1" t="s">
        <v>21</v>
      </c>
    </row>
    <row r="84" spans="1:9" ht="59" hidden="1" x14ac:dyDescent="0.75">
      <c r="A84" s="1" t="s">
        <v>172</v>
      </c>
      <c r="B84" s="1" t="s">
        <v>28</v>
      </c>
      <c r="C84" s="1" t="s">
        <v>19</v>
      </c>
      <c r="D84" s="1" t="s">
        <v>38</v>
      </c>
      <c r="E84" s="1" t="s">
        <v>173</v>
      </c>
      <c r="F84" s="1" t="s">
        <v>21</v>
      </c>
      <c r="G84" s="1" t="s">
        <v>21</v>
      </c>
      <c r="H84" s="1" t="s">
        <v>21</v>
      </c>
      <c r="I84" s="1" t="s">
        <v>21</v>
      </c>
    </row>
    <row r="85" spans="1:9" ht="59" hidden="1" x14ac:dyDescent="0.75">
      <c r="A85" s="1" t="s">
        <v>174</v>
      </c>
      <c r="B85" s="1" t="s">
        <v>18</v>
      </c>
      <c r="C85" s="1" t="s">
        <v>24</v>
      </c>
      <c r="D85" s="1" t="s">
        <v>47</v>
      </c>
      <c r="E85" s="1" t="s">
        <v>21</v>
      </c>
      <c r="F85" s="1" t="s">
        <v>21</v>
      </c>
      <c r="G85" s="1" t="s">
        <v>175</v>
      </c>
      <c r="H85" s="1" t="s">
        <v>21</v>
      </c>
      <c r="I85" s="1" t="s">
        <v>21</v>
      </c>
    </row>
    <row r="86" spans="1:9" ht="88.5" hidden="1" x14ac:dyDescent="0.75">
      <c r="A86" s="1" t="s">
        <v>176</v>
      </c>
      <c r="B86" s="1" t="s">
        <v>18</v>
      </c>
      <c r="C86" s="1" t="s">
        <v>36</v>
      </c>
      <c r="D86" s="1" t="s">
        <v>115</v>
      </c>
      <c r="E86" s="1" t="s">
        <v>21</v>
      </c>
      <c r="F86" s="1" t="s">
        <v>21</v>
      </c>
      <c r="G86" s="1" t="s">
        <v>21</v>
      </c>
      <c r="H86" s="1" t="s">
        <v>21</v>
      </c>
      <c r="I86" s="1" t="s">
        <v>21</v>
      </c>
    </row>
    <row r="87" spans="1:9" ht="59" hidden="1" x14ac:dyDescent="0.75">
      <c r="A87" s="1" t="s">
        <v>177</v>
      </c>
      <c r="B87" s="1" t="s">
        <v>18</v>
      </c>
      <c r="C87" s="1" t="s">
        <v>19</v>
      </c>
      <c r="D87" s="1" t="s">
        <v>57</v>
      </c>
      <c r="E87" s="1" t="s">
        <v>21</v>
      </c>
      <c r="F87" s="1" t="s">
        <v>21</v>
      </c>
      <c r="G87" s="1" t="s">
        <v>178</v>
      </c>
      <c r="H87" s="1" t="s">
        <v>21</v>
      </c>
      <c r="I87" s="1" t="s">
        <v>21</v>
      </c>
    </row>
    <row r="88" spans="1:9" ht="59" hidden="1" x14ac:dyDescent="0.75">
      <c r="A88" s="1" t="s">
        <v>179</v>
      </c>
      <c r="B88" s="1" t="s">
        <v>97</v>
      </c>
      <c r="C88" s="1" t="s">
        <v>45</v>
      </c>
      <c r="D88" s="1" t="s">
        <v>47</v>
      </c>
      <c r="E88" s="1" t="s">
        <v>21</v>
      </c>
      <c r="F88" s="1" t="s">
        <v>21</v>
      </c>
      <c r="G88" s="1" t="s">
        <v>21</v>
      </c>
      <c r="H88" s="1" t="s">
        <v>180</v>
      </c>
      <c r="I88" s="1" t="s">
        <v>21</v>
      </c>
    </row>
    <row r="89" spans="1:9" ht="59" hidden="1" x14ac:dyDescent="0.75">
      <c r="A89" s="1" t="s">
        <v>181</v>
      </c>
      <c r="B89" s="1" t="s">
        <v>103</v>
      </c>
      <c r="C89" s="1" t="s">
        <v>45</v>
      </c>
      <c r="D89" s="1" t="s">
        <v>98</v>
      </c>
      <c r="E89" s="1" t="s">
        <v>21</v>
      </c>
      <c r="F89" s="1" t="s">
        <v>21</v>
      </c>
      <c r="G89" s="1" t="s">
        <v>21</v>
      </c>
      <c r="H89" s="1" t="s">
        <v>21</v>
      </c>
      <c r="I89" s="1" t="s">
        <v>21</v>
      </c>
    </row>
    <row r="90" spans="1:9" ht="59" hidden="1" x14ac:dyDescent="0.75">
      <c r="A90" s="1" t="s">
        <v>182</v>
      </c>
      <c r="B90" s="1" t="s">
        <v>103</v>
      </c>
      <c r="C90" s="1" t="s">
        <v>45</v>
      </c>
      <c r="D90" s="1" t="s">
        <v>61</v>
      </c>
      <c r="E90" s="1" t="s">
        <v>21</v>
      </c>
      <c r="F90" s="1" t="s">
        <v>21</v>
      </c>
      <c r="G90" s="1" t="s">
        <v>21</v>
      </c>
      <c r="H90" s="1" t="s">
        <v>21</v>
      </c>
      <c r="I90" s="1" t="s">
        <v>21</v>
      </c>
    </row>
    <row r="91" spans="1:9" ht="88.5" hidden="1" x14ac:dyDescent="0.75">
      <c r="A91" s="1" t="s">
        <v>183</v>
      </c>
      <c r="B91" s="1" t="s">
        <v>97</v>
      </c>
      <c r="C91" s="1" t="s">
        <v>122</v>
      </c>
      <c r="D91" s="1" t="s">
        <v>47</v>
      </c>
      <c r="E91" s="1" t="s">
        <v>21</v>
      </c>
      <c r="F91" s="1" t="s">
        <v>21</v>
      </c>
      <c r="G91" s="1" t="s">
        <v>21</v>
      </c>
      <c r="H91" s="1" t="s">
        <v>21</v>
      </c>
      <c r="I91" s="1" t="s">
        <v>21</v>
      </c>
    </row>
    <row r="92" spans="1:9" ht="59" hidden="1" x14ac:dyDescent="0.75">
      <c r="A92" s="1" t="s">
        <v>184</v>
      </c>
      <c r="B92" s="1" t="s">
        <v>18</v>
      </c>
      <c r="C92" s="1" t="s">
        <v>19</v>
      </c>
      <c r="D92" s="1" t="s">
        <v>30</v>
      </c>
      <c r="E92" s="1" t="s">
        <v>21</v>
      </c>
      <c r="F92" s="1" t="s">
        <v>21</v>
      </c>
      <c r="G92" s="1" t="s">
        <v>21</v>
      </c>
      <c r="H92" s="1" t="s">
        <v>21</v>
      </c>
      <c r="I92" s="1" t="s">
        <v>21</v>
      </c>
    </row>
    <row r="93" spans="1:9" ht="73.75" hidden="1" x14ac:dyDescent="0.75">
      <c r="A93" s="1" t="s">
        <v>185</v>
      </c>
      <c r="B93" s="1" t="s">
        <v>23</v>
      </c>
      <c r="C93" s="1" t="s">
        <v>29</v>
      </c>
      <c r="D93" s="1" t="s">
        <v>66</v>
      </c>
      <c r="E93" s="1" t="s">
        <v>21</v>
      </c>
      <c r="F93" s="1" t="s">
        <v>21</v>
      </c>
      <c r="G93" s="1" t="s">
        <v>21</v>
      </c>
      <c r="H93" s="1" t="s">
        <v>21</v>
      </c>
      <c r="I93" s="1" t="s">
        <v>21</v>
      </c>
    </row>
    <row r="94" spans="1:9" ht="88.5" hidden="1" x14ac:dyDescent="0.75">
      <c r="A94" s="1" t="s">
        <v>186</v>
      </c>
      <c r="B94" s="1" t="s">
        <v>28</v>
      </c>
      <c r="C94" s="1" t="s">
        <v>122</v>
      </c>
      <c r="D94" s="1" t="s">
        <v>30</v>
      </c>
      <c r="E94" s="1" t="s">
        <v>21</v>
      </c>
      <c r="F94" s="1" t="s">
        <v>21</v>
      </c>
      <c r="G94" s="1" t="s">
        <v>21</v>
      </c>
      <c r="H94" s="1" t="s">
        <v>21</v>
      </c>
      <c r="I94" s="1" t="s">
        <v>21</v>
      </c>
    </row>
    <row r="95" spans="1:9" ht="59" hidden="1" x14ac:dyDescent="0.75">
      <c r="A95" s="1" t="s">
        <v>187</v>
      </c>
      <c r="B95" s="1" t="s">
        <v>23</v>
      </c>
      <c r="C95" s="1" t="s">
        <v>29</v>
      </c>
      <c r="D95" s="1" t="s">
        <v>188</v>
      </c>
      <c r="E95" s="1" t="s">
        <v>21</v>
      </c>
      <c r="F95" s="1" t="s">
        <v>21</v>
      </c>
      <c r="G95" s="1" t="s">
        <v>21</v>
      </c>
      <c r="H95" s="1" t="s">
        <v>21</v>
      </c>
      <c r="I95" s="1" t="s">
        <v>21</v>
      </c>
    </row>
    <row r="96" spans="1:9" ht="44.25" x14ac:dyDescent="0.75">
      <c r="A96" s="1" t="s">
        <v>189</v>
      </c>
      <c r="B96" s="1" t="s">
        <v>103</v>
      </c>
      <c r="C96" s="1" t="s">
        <v>45</v>
      </c>
      <c r="D96" s="1" t="s">
        <v>136</v>
      </c>
      <c r="E96" s="1" t="s">
        <v>21</v>
      </c>
      <c r="F96" s="1" t="s">
        <v>21</v>
      </c>
      <c r="G96" s="1" t="s">
        <v>21</v>
      </c>
      <c r="H96" s="1" t="s">
        <v>21</v>
      </c>
      <c r="I96" s="1" t="s">
        <v>190</v>
      </c>
    </row>
    <row r="97" spans="1:9" ht="59" hidden="1" x14ac:dyDescent="0.75">
      <c r="A97" s="1" t="s">
        <v>191</v>
      </c>
      <c r="B97" s="1" t="s">
        <v>28</v>
      </c>
      <c r="C97" s="1" t="s">
        <v>19</v>
      </c>
      <c r="D97" s="1" t="s">
        <v>81</v>
      </c>
      <c r="E97" s="1" t="s">
        <v>21</v>
      </c>
      <c r="F97" s="1" t="s">
        <v>192</v>
      </c>
      <c r="G97" s="1" t="s">
        <v>21</v>
      </c>
      <c r="H97" s="1" t="s">
        <v>21</v>
      </c>
      <c r="I97" s="1" t="s">
        <v>21</v>
      </c>
    </row>
    <row r="98" spans="1:9" ht="59" hidden="1" x14ac:dyDescent="0.75">
      <c r="A98" s="1" t="s">
        <v>193</v>
      </c>
      <c r="B98" s="1" t="s">
        <v>23</v>
      </c>
      <c r="C98" s="1" t="s">
        <v>29</v>
      </c>
      <c r="D98" s="1" t="s">
        <v>88</v>
      </c>
      <c r="E98" s="1" t="s">
        <v>21</v>
      </c>
      <c r="F98" s="1" t="s">
        <v>21</v>
      </c>
      <c r="G98" s="1" t="s">
        <v>194</v>
      </c>
      <c r="H98" s="1" t="s">
        <v>21</v>
      </c>
      <c r="I98" s="1" t="s">
        <v>21</v>
      </c>
    </row>
    <row r="99" spans="1:9" ht="44.25" hidden="1" x14ac:dyDescent="0.75">
      <c r="A99" s="1" t="s">
        <v>195</v>
      </c>
      <c r="B99" s="1" t="s">
        <v>103</v>
      </c>
      <c r="C99" s="1" t="s">
        <v>45</v>
      </c>
      <c r="D99" s="1" t="s">
        <v>136</v>
      </c>
      <c r="E99" s="1" t="s">
        <v>21</v>
      </c>
      <c r="F99" s="1" t="s">
        <v>21</v>
      </c>
      <c r="G99" s="1" t="s">
        <v>21</v>
      </c>
      <c r="H99" s="1" t="s">
        <v>21</v>
      </c>
      <c r="I99" s="1" t="s">
        <v>21</v>
      </c>
    </row>
    <row r="100" spans="1:9" ht="59" hidden="1" x14ac:dyDescent="0.75">
      <c r="A100" s="1" t="s">
        <v>196</v>
      </c>
      <c r="B100" s="1" t="s">
        <v>23</v>
      </c>
      <c r="C100" s="1" t="s">
        <v>29</v>
      </c>
      <c r="D100" s="1" t="s">
        <v>25</v>
      </c>
      <c r="E100" s="1" t="s">
        <v>21</v>
      </c>
      <c r="F100" s="1" t="s">
        <v>21</v>
      </c>
      <c r="G100" s="1" t="s">
        <v>21</v>
      </c>
      <c r="H100" s="1" t="s">
        <v>21</v>
      </c>
      <c r="I100" s="1" t="s">
        <v>21</v>
      </c>
    </row>
    <row r="101" spans="1:9" ht="103.25" hidden="1" x14ac:dyDescent="0.75">
      <c r="A101" s="1" t="s">
        <v>197</v>
      </c>
      <c r="B101" s="1" t="s">
        <v>28</v>
      </c>
      <c r="C101" s="1" t="s">
        <v>29</v>
      </c>
      <c r="D101" s="1" t="s">
        <v>33</v>
      </c>
      <c r="E101" s="1" t="s">
        <v>198</v>
      </c>
      <c r="F101" s="1" t="s">
        <v>21</v>
      </c>
      <c r="G101" s="1" t="s">
        <v>21</v>
      </c>
      <c r="H101" s="1" t="s">
        <v>21</v>
      </c>
      <c r="I101" s="1" t="s">
        <v>21</v>
      </c>
    </row>
    <row r="102" spans="1:9" ht="59" hidden="1" x14ac:dyDescent="0.75">
      <c r="A102" s="1" t="s">
        <v>199</v>
      </c>
      <c r="B102" s="1" t="s">
        <v>28</v>
      </c>
      <c r="C102" s="1" t="s">
        <v>29</v>
      </c>
      <c r="D102" s="1" t="s">
        <v>57</v>
      </c>
      <c r="E102" s="1" t="s">
        <v>21</v>
      </c>
      <c r="F102" s="1" t="s">
        <v>21</v>
      </c>
      <c r="G102" s="1" t="s">
        <v>21</v>
      </c>
      <c r="H102" s="1" t="s">
        <v>21</v>
      </c>
      <c r="I102" s="1" t="s">
        <v>21</v>
      </c>
    </row>
    <row r="103" spans="1:9" ht="88.5" hidden="1" x14ac:dyDescent="0.75">
      <c r="A103" s="1" t="s">
        <v>200</v>
      </c>
      <c r="B103" s="1" t="s">
        <v>23</v>
      </c>
      <c r="C103" s="1" t="s">
        <v>36</v>
      </c>
      <c r="D103" s="1" t="s">
        <v>136</v>
      </c>
      <c r="E103" s="1" t="s">
        <v>21</v>
      </c>
      <c r="F103" s="1" t="s">
        <v>21</v>
      </c>
      <c r="G103" s="1" t="s">
        <v>201</v>
      </c>
      <c r="H103" s="1" t="s">
        <v>21</v>
      </c>
      <c r="I103" s="1" t="s">
        <v>21</v>
      </c>
    </row>
    <row r="104" spans="1:9" ht="59" hidden="1" x14ac:dyDescent="0.75">
      <c r="A104" s="1" t="s">
        <v>202</v>
      </c>
      <c r="B104" s="1" t="s">
        <v>23</v>
      </c>
      <c r="C104" s="1" t="s">
        <v>45</v>
      </c>
      <c r="D104" s="1" t="s">
        <v>38</v>
      </c>
      <c r="E104" s="1" t="s">
        <v>21</v>
      </c>
      <c r="F104" s="1" t="s">
        <v>21</v>
      </c>
      <c r="G104" s="1" t="s">
        <v>21</v>
      </c>
      <c r="H104" s="1" t="s">
        <v>203</v>
      </c>
      <c r="I104" s="1" t="s">
        <v>21</v>
      </c>
    </row>
    <row r="105" spans="1:9" ht="88.5" hidden="1" x14ac:dyDescent="0.75">
      <c r="A105" s="1" t="s">
        <v>204</v>
      </c>
      <c r="B105" s="1" t="s">
        <v>35</v>
      </c>
      <c r="C105" s="1" t="s">
        <v>32</v>
      </c>
      <c r="D105" s="1" t="s">
        <v>30</v>
      </c>
      <c r="E105" s="1" t="s">
        <v>21</v>
      </c>
      <c r="F105" s="1" t="s">
        <v>205</v>
      </c>
      <c r="G105" s="1" t="s">
        <v>21</v>
      </c>
      <c r="H105" s="1" t="s">
        <v>21</v>
      </c>
      <c r="I105" s="1" t="s">
        <v>21</v>
      </c>
    </row>
    <row r="106" spans="1:9" ht="59" hidden="1" x14ac:dyDescent="0.75">
      <c r="A106" s="1" t="s">
        <v>206</v>
      </c>
      <c r="B106" s="1" t="s">
        <v>18</v>
      </c>
      <c r="C106" s="1" t="s">
        <v>24</v>
      </c>
      <c r="D106" s="1" t="s">
        <v>61</v>
      </c>
      <c r="E106" s="1" t="s">
        <v>21</v>
      </c>
      <c r="F106" s="1" t="s">
        <v>207</v>
      </c>
      <c r="G106" s="1" t="s">
        <v>21</v>
      </c>
      <c r="H106" s="1" t="s">
        <v>21</v>
      </c>
      <c r="I106" s="1" t="s">
        <v>21</v>
      </c>
    </row>
    <row r="107" spans="1:9" ht="59" hidden="1" x14ac:dyDescent="0.75">
      <c r="A107" s="1" t="s">
        <v>208</v>
      </c>
      <c r="B107" s="1" t="s">
        <v>23</v>
      </c>
      <c r="C107" s="1" t="s">
        <v>29</v>
      </c>
      <c r="D107" s="1" t="s">
        <v>115</v>
      </c>
      <c r="E107" s="1" t="s">
        <v>21</v>
      </c>
      <c r="F107" s="1" t="s">
        <v>21</v>
      </c>
      <c r="G107" s="1" t="s">
        <v>21</v>
      </c>
      <c r="H107" s="1" t="s">
        <v>21</v>
      </c>
      <c r="I107" s="1" t="s">
        <v>21</v>
      </c>
    </row>
    <row r="108" spans="1:9" ht="59" hidden="1" x14ac:dyDescent="0.75">
      <c r="A108" s="1" t="s">
        <v>209</v>
      </c>
      <c r="B108" s="1" t="s">
        <v>28</v>
      </c>
      <c r="C108" s="1" t="s">
        <v>24</v>
      </c>
      <c r="D108" s="1" t="s">
        <v>30</v>
      </c>
      <c r="E108" s="1" t="s">
        <v>21</v>
      </c>
      <c r="F108" s="1" t="s">
        <v>210</v>
      </c>
      <c r="G108" s="1" t="s">
        <v>21</v>
      </c>
      <c r="H108" s="1" t="s">
        <v>21</v>
      </c>
      <c r="I108" s="1" t="s">
        <v>21</v>
      </c>
    </row>
    <row r="109" spans="1:9" ht="59" hidden="1" x14ac:dyDescent="0.75">
      <c r="A109" s="1" t="s">
        <v>211</v>
      </c>
      <c r="B109" s="1" t="s">
        <v>18</v>
      </c>
      <c r="C109" s="1" t="s">
        <v>29</v>
      </c>
      <c r="D109" s="1" t="s">
        <v>63</v>
      </c>
      <c r="E109" s="1" t="s">
        <v>21</v>
      </c>
      <c r="F109" s="1" t="s">
        <v>21</v>
      </c>
      <c r="G109" s="1" t="s">
        <v>21</v>
      </c>
      <c r="H109" s="1" t="s">
        <v>21</v>
      </c>
      <c r="I109" s="1" t="s">
        <v>21</v>
      </c>
    </row>
    <row r="110" spans="1:9" ht="59" hidden="1" x14ac:dyDescent="0.75">
      <c r="A110" s="1" t="s">
        <v>212</v>
      </c>
      <c r="B110" s="1" t="s">
        <v>35</v>
      </c>
      <c r="C110" s="1" t="s">
        <v>29</v>
      </c>
      <c r="D110" s="1" t="s">
        <v>51</v>
      </c>
      <c r="E110" s="1" t="s">
        <v>21</v>
      </c>
      <c r="F110" s="1" t="s">
        <v>21</v>
      </c>
      <c r="G110" s="1" t="s">
        <v>213</v>
      </c>
      <c r="H110" s="1" t="s">
        <v>21</v>
      </c>
      <c r="I110" s="1" t="s">
        <v>21</v>
      </c>
    </row>
    <row r="111" spans="1:9" ht="59" x14ac:dyDescent="0.75">
      <c r="A111" s="1" t="s">
        <v>214</v>
      </c>
      <c r="B111" s="1" t="s">
        <v>23</v>
      </c>
      <c r="C111" s="1" t="s">
        <v>29</v>
      </c>
      <c r="D111" s="1" t="s">
        <v>61</v>
      </c>
      <c r="E111" s="1" t="s">
        <v>21</v>
      </c>
      <c r="F111" s="1" t="s">
        <v>21</v>
      </c>
      <c r="G111" s="1" t="s">
        <v>21</v>
      </c>
      <c r="H111" s="1" t="s">
        <v>21</v>
      </c>
      <c r="I111" s="1" t="s">
        <v>215</v>
      </c>
    </row>
    <row r="112" spans="1:9" ht="59" hidden="1" x14ac:dyDescent="0.75">
      <c r="A112" s="1" t="s">
        <v>216</v>
      </c>
      <c r="B112" s="1" t="s">
        <v>23</v>
      </c>
      <c r="C112" s="1" t="s">
        <v>29</v>
      </c>
      <c r="D112" s="1" t="s">
        <v>57</v>
      </c>
      <c r="E112" s="1" t="s">
        <v>21</v>
      </c>
      <c r="F112" s="1" t="s">
        <v>21</v>
      </c>
      <c r="G112" s="1" t="s">
        <v>21</v>
      </c>
      <c r="H112" s="1" t="s">
        <v>21</v>
      </c>
      <c r="I112" s="1" t="s">
        <v>21</v>
      </c>
    </row>
    <row r="113" spans="1:9" ht="103.25" hidden="1" x14ac:dyDescent="0.75">
      <c r="A113" s="1" t="s">
        <v>217</v>
      </c>
      <c r="B113" s="1" t="s">
        <v>28</v>
      </c>
      <c r="C113" s="1" t="s">
        <v>45</v>
      </c>
      <c r="D113" s="1" t="s">
        <v>33</v>
      </c>
      <c r="E113" s="1" t="s">
        <v>21</v>
      </c>
      <c r="F113" s="1" t="s">
        <v>218</v>
      </c>
      <c r="G113" s="1" t="s">
        <v>21</v>
      </c>
      <c r="H113" s="1" t="s">
        <v>21</v>
      </c>
      <c r="I113" s="1" t="s">
        <v>21</v>
      </c>
    </row>
    <row r="114" spans="1:9" ht="59" x14ac:dyDescent="0.75">
      <c r="A114" s="1" t="s">
        <v>219</v>
      </c>
      <c r="B114" s="1" t="s">
        <v>23</v>
      </c>
      <c r="C114" s="1" t="s">
        <v>29</v>
      </c>
      <c r="D114" s="1" t="s">
        <v>38</v>
      </c>
      <c r="E114" s="1" t="s">
        <v>21</v>
      </c>
      <c r="F114" s="1" t="s">
        <v>21</v>
      </c>
      <c r="G114" s="1" t="s">
        <v>21</v>
      </c>
      <c r="H114" s="1" t="s">
        <v>21</v>
      </c>
      <c r="I114" s="1" t="s">
        <v>220</v>
      </c>
    </row>
    <row r="115" spans="1:9" ht="103.25" hidden="1" x14ac:dyDescent="0.75">
      <c r="A115" s="1" t="s">
        <v>221</v>
      </c>
      <c r="B115" s="1" t="s">
        <v>18</v>
      </c>
      <c r="C115" s="1" t="s">
        <v>29</v>
      </c>
      <c r="D115" s="1" t="s">
        <v>33</v>
      </c>
      <c r="E115" s="1" t="s">
        <v>21</v>
      </c>
      <c r="F115" s="1" t="s">
        <v>21</v>
      </c>
      <c r="G115" s="1" t="s">
        <v>21</v>
      </c>
      <c r="H115" s="1" t="s">
        <v>21</v>
      </c>
      <c r="I115" s="1" t="s">
        <v>21</v>
      </c>
    </row>
    <row r="116" spans="1:9" ht="59" hidden="1" x14ac:dyDescent="0.75">
      <c r="A116" s="1" t="s">
        <v>222</v>
      </c>
      <c r="B116" s="1" t="s">
        <v>23</v>
      </c>
      <c r="C116" s="1" t="s">
        <v>24</v>
      </c>
      <c r="D116" s="1" t="s">
        <v>30</v>
      </c>
      <c r="E116" s="1" t="s">
        <v>21</v>
      </c>
      <c r="F116" s="1" t="s">
        <v>21</v>
      </c>
      <c r="G116" s="1" t="s">
        <v>21</v>
      </c>
      <c r="H116" s="1" t="s">
        <v>21</v>
      </c>
      <c r="I116" s="1" t="s">
        <v>21</v>
      </c>
    </row>
    <row r="117" spans="1:9" ht="73.75" hidden="1" x14ac:dyDescent="0.75">
      <c r="A117" s="1" t="s">
        <v>223</v>
      </c>
      <c r="B117" s="1" t="s">
        <v>28</v>
      </c>
      <c r="C117" s="1" t="s">
        <v>29</v>
      </c>
      <c r="D117" s="1" t="s">
        <v>66</v>
      </c>
      <c r="E117" s="1" t="s">
        <v>21</v>
      </c>
      <c r="F117" s="1" t="s">
        <v>21</v>
      </c>
      <c r="G117" s="1" t="s">
        <v>224</v>
      </c>
      <c r="H117" s="1" t="s">
        <v>21</v>
      </c>
      <c r="I117" s="1" t="s">
        <v>21</v>
      </c>
    </row>
    <row r="118" spans="1:9" ht="59" x14ac:dyDescent="0.75">
      <c r="A118" s="1" t="s">
        <v>225</v>
      </c>
      <c r="B118" s="1" t="s">
        <v>18</v>
      </c>
      <c r="C118" s="1" t="s">
        <v>29</v>
      </c>
      <c r="D118" s="1" t="s">
        <v>57</v>
      </c>
      <c r="E118" s="1" t="s">
        <v>21</v>
      </c>
      <c r="F118" s="1" t="s">
        <v>21</v>
      </c>
      <c r="G118" s="1" t="s">
        <v>21</v>
      </c>
      <c r="H118" s="1" t="s">
        <v>21</v>
      </c>
      <c r="I118" s="1" t="s">
        <v>226</v>
      </c>
    </row>
    <row r="119" spans="1:9" ht="59" hidden="1" x14ac:dyDescent="0.75">
      <c r="A119" s="1" t="s">
        <v>227</v>
      </c>
      <c r="B119" s="1" t="s">
        <v>103</v>
      </c>
      <c r="C119" s="1" t="s">
        <v>24</v>
      </c>
      <c r="D119" s="1" t="s">
        <v>61</v>
      </c>
      <c r="E119" s="1" t="s">
        <v>228</v>
      </c>
      <c r="F119" s="1" t="s">
        <v>21</v>
      </c>
      <c r="G119" s="1" t="s">
        <v>21</v>
      </c>
      <c r="H119" s="1" t="s">
        <v>21</v>
      </c>
      <c r="I119" s="1" t="s">
        <v>21</v>
      </c>
    </row>
    <row r="120" spans="1:9" ht="59" x14ac:dyDescent="0.75">
      <c r="A120" s="1" t="s">
        <v>229</v>
      </c>
      <c r="B120" s="1" t="s">
        <v>23</v>
      </c>
      <c r="C120" s="1" t="s">
        <v>19</v>
      </c>
      <c r="D120" s="1" t="s">
        <v>57</v>
      </c>
      <c r="E120" s="1" t="s">
        <v>21</v>
      </c>
      <c r="F120" s="1" t="s">
        <v>21</v>
      </c>
      <c r="G120" s="1" t="s">
        <v>21</v>
      </c>
      <c r="H120" s="1" t="s">
        <v>21</v>
      </c>
      <c r="I120" s="1" t="s">
        <v>230</v>
      </c>
    </row>
    <row r="121" spans="1:9" ht="59" hidden="1" x14ac:dyDescent="0.75">
      <c r="A121" s="1" t="s">
        <v>231</v>
      </c>
      <c r="B121" s="1" t="s">
        <v>18</v>
      </c>
      <c r="C121" s="1" t="s">
        <v>29</v>
      </c>
      <c r="D121" s="1" t="s">
        <v>54</v>
      </c>
      <c r="E121" s="1" t="s">
        <v>21</v>
      </c>
      <c r="F121" s="1" t="s">
        <v>21</v>
      </c>
      <c r="G121" s="1" t="s">
        <v>21</v>
      </c>
      <c r="H121" s="1" t="s">
        <v>21</v>
      </c>
      <c r="I121" s="1" t="s">
        <v>21</v>
      </c>
    </row>
    <row r="122" spans="1:9" ht="59" hidden="1" x14ac:dyDescent="0.75">
      <c r="A122" s="1" t="s">
        <v>232</v>
      </c>
      <c r="B122" s="1" t="s">
        <v>28</v>
      </c>
      <c r="C122" s="1" t="s">
        <v>29</v>
      </c>
      <c r="D122" s="1" t="s">
        <v>61</v>
      </c>
      <c r="E122" s="1" t="s">
        <v>21</v>
      </c>
      <c r="F122" s="1" t="s">
        <v>21</v>
      </c>
      <c r="G122" s="1" t="s">
        <v>233</v>
      </c>
      <c r="H122" s="1" t="s">
        <v>21</v>
      </c>
      <c r="I122" s="1" t="s">
        <v>21</v>
      </c>
    </row>
    <row r="123" spans="1:9" ht="59" hidden="1" x14ac:dyDescent="0.75">
      <c r="A123" s="1" t="s">
        <v>234</v>
      </c>
      <c r="B123" s="1" t="s">
        <v>23</v>
      </c>
      <c r="C123" s="1" t="s">
        <v>45</v>
      </c>
      <c r="D123" s="1" t="s">
        <v>235</v>
      </c>
      <c r="E123" s="1" t="s">
        <v>21</v>
      </c>
      <c r="F123" s="1" t="s">
        <v>21</v>
      </c>
      <c r="G123" s="1" t="s">
        <v>21</v>
      </c>
      <c r="H123" s="1" t="s">
        <v>236</v>
      </c>
      <c r="I123" s="1" t="s">
        <v>21</v>
      </c>
    </row>
    <row r="124" spans="1:9" ht="59" hidden="1" x14ac:dyDescent="0.75">
      <c r="A124" s="1" t="s">
        <v>237</v>
      </c>
      <c r="B124" s="1" t="s">
        <v>103</v>
      </c>
      <c r="C124" s="1" t="s">
        <v>45</v>
      </c>
      <c r="D124" s="1" t="s">
        <v>38</v>
      </c>
      <c r="E124" s="1" t="s">
        <v>21</v>
      </c>
      <c r="F124" s="1" t="s">
        <v>21</v>
      </c>
      <c r="G124" s="1" t="s">
        <v>21</v>
      </c>
      <c r="H124" s="1" t="s">
        <v>21</v>
      </c>
      <c r="I124" s="1" t="s">
        <v>21</v>
      </c>
    </row>
    <row r="125" spans="1:9" ht="103.25" hidden="1" x14ac:dyDescent="0.75">
      <c r="A125" s="1" t="s">
        <v>238</v>
      </c>
      <c r="B125" s="1" t="s">
        <v>18</v>
      </c>
      <c r="C125" s="1" t="s">
        <v>24</v>
      </c>
      <c r="D125" s="1" t="s">
        <v>33</v>
      </c>
      <c r="E125" s="1" t="s">
        <v>21</v>
      </c>
      <c r="F125" s="1" t="s">
        <v>21</v>
      </c>
      <c r="G125" s="1" t="s">
        <v>21</v>
      </c>
      <c r="H125" s="1" t="s">
        <v>21</v>
      </c>
      <c r="I125" s="1" t="s">
        <v>21</v>
      </c>
    </row>
    <row r="126" spans="1:9" ht="103.25" hidden="1" x14ac:dyDescent="0.75">
      <c r="A126" s="1" t="s">
        <v>239</v>
      </c>
      <c r="B126" s="1" t="s">
        <v>18</v>
      </c>
      <c r="C126" s="1" t="s">
        <v>29</v>
      </c>
      <c r="D126" s="1" t="s">
        <v>33</v>
      </c>
      <c r="E126" s="1" t="s">
        <v>21</v>
      </c>
      <c r="F126" s="1" t="s">
        <v>21</v>
      </c>
      <c r="G126" s="1" t="s">
        <v>21</v>
      </c>
      <c r="H126" s="1" t="s">
        <v>240</v>
      </c>
      <c r="I126" s="1" t="s">
        <v>21</v>
      </c>
    </row>
    <row r="127" spans="1:9" ht="59" hidden="1" x14ac:dyDescent="0.75">
      <c r="A127" s="1" t="s">
        <v>241</v>
      </c>
      <c r="B127" s="1" t="s">
        <v>23</v>
      </c>
      <c r="C127" s="1" t="s">
        <v>29</v>
      </c>
      <c r="D127" s="1" t="s">
        <v>127</v>
      </c>
      <c r="E127" s="1" t="s">
        <v>21</v>
      </c>
      <c r="F127" s="1" t="s">
        <v>21</v>
      </c>
      <c r="G127" s="1" t="s">
        <v>21</v>
      </c>
      <c r="H127" s="1" t="s">
        <v>21</v>
      </c>
      <c r="I127" s="1" t="s">
        <v>21</v>
      </c>
    </row>
    <row r="128" spans="1:9" ht="59" hidden="1" x14ac:dyDescent="0.75">
      <c r="A128" s="1" t="s">
        <v>242</v>
      </c>
      <c r="B128" s="1" t="s">
        <v>35</v>
      </c>
      <c r="C128" s="1" t="s">
        <v>29</v>
      </c>
      <c r="D128" s="1" t="s">
        <v>47</v>
      </c>
      <c r="E128" s="1" t="s">
        <v>21</v>
      </c>
      <c r="F128" s="1" t="s">
        <v>21</v>
      </c>
      <c r="G128" s="1" t="s">
        <v>21</v>
      </c>
      <c r="H128" s="1" t="s">
        <v>21</v>
      </c>
      <c r="I128" s="1" t="s">
        <v>21</v>
      </c>
    </row>
    <row r="129" spans="1:9" ht="59" hidden="1" x14ac:dyDescent="0.75">
      <c r="A129" s="1" t="s">
        <v>243</v>
      </c>
      <c r="B129" s="1" t="s">
        <v>28</v>
      </c>
      <c r="C129" s="1" t="s">
        <v>29</v>
      </c>
      <c r="D129" s="1" t="s">
        <v>115</v>
      </c>
      <c r="E129" s="1" t="s">
        <v>21</v>
      </c>
      <c r="F129" s="1" t="s">
        <v>21</v>
      </c>
      <c r="G129" s="1" t="s">
        <v>21</v>
      </c>
      <c r="H129" s="1" t="s">
        <v>21</v>
      </c>
      <c r="I129" s="1" t="s">
        <v>21</v>
      </c>
    </row>
    <row r="130" spans="1:9" ht="59" hidden="1" x14ac:dyDescent="0.75">
      <c r="A130" s="1" t="s">
        <v>244</v>
      </c>
      <c r="B130" s="1" t="s">
        <v>23</v>
      </c>
      <c r="C130" s="1" t="s">
        <v>29</v>
      </c>
      <c r="D130" s="1" t="s">
        <v>61</v>
      </c>
      <c r="E130" s="1" t="s">
        <v>21</v>
      </c>
      <c r="F130" s="1" t="s">
        <v>21</v>
      </c>
      <c r="G130" s="1" t="s">
        <v>21</v>
      </c>
      <c r="H130" s="1" t="s">
        <v>21</v>
      </c>
      <c r="I130" s="1" t="s">
        <v>21</v>
      </c>
    </row>
    <row r="131" spans="1:9" ht="59" hidden="1" x14ac:dyDescent="0.75">
      <c r="A131" s="1" t="s">
        <v>245</v>
      </c>
      <c r="B131" s="1" t="s">
        <v>23</v>
      </c>
      <c r="C131" s="1" t="s">
        <v>19</v>
      </c>
      <c r="D131" s="1" t="s">
        <v>188</v>
      </c>
      <c r="E131" s="1" t="s">
        <v>21</v>
      </c>
      <c r="F131" s="1" t="s">
        <v>246</v>
      </c>
      <c r="G131" s="1" t="s">
        <v>21</v>
      </c>
      <c r="H131" s="1" t="s">
        <v>21</v>
      </c>
      <c r="I131" s="1" t="s">
        <v>21</v>
      </c>
    </row>
    <row r="132" spans="1:9" ht="59" hidden="1" x14ac:dyDescent="0.75">
      <c r="A132" s="1" t="s">
        <v>247</v>
      </c>
      <c r="B132" s="1" t="s">
        <v>103</v>
      </c>
      <c r="C132" s="1" t="s">
        <v>45</v>
      </c>
      <c r="D132" s="1" t="s">
        <v>51</v>
      </c>
      <c r="E132" s="1" t="s">
        <v>21</v>
      </c>
      <c r="F132" s="1" t="s">
        <v>21</v>
      </c>
      <c r="G132" s="1" t="s">
        <v>21</v>
      </c>
      <c r="H132" s="1" t="s">
        <v>21</v>
      </c>
      <c r="I132" s="1" t="s">
        <v>21</v>
      </c>
    </row>
    <row r="133" spans="1:9" ht="59" x14ac:dyDescent="0.75">
      <c r="A133" s="1" t="s">
        <v>248</v>
      </c>
      <c r="B133" s="1" t="s">
        <v>18</v>
      </c>
      <c r="C133" s="1" t="s">
        <v>24</v>
      </c>
      <c r="D133" s="1" t="s">
        <v>51</v>
      </c>
      <c r="E133" s="1" t="s">
        <v>21</v>
      </c>
      <c r="F133" s="1" t="s">
        <v>21</v>
      </c>
      <c r="G133" s="1" t="s">
        <v>21</v>
      </c>
      <c r="H133" s="1" t="s">
        <v>21</v>
      </c>
      <c r="I133" s="1" t="s">
        <v>249</v>
      </c>
    </row>
    <row r="134" spans="1:9" ht="59" hidden="1" x14ac:dyDescent="0.75">
      <c r="A134" s="1" t="s">
        <v>250</v>
      </c>
      <c r="B134" s="1" t="s">
        <v>23</v>
      </c>
      <c r="C134" s="1" t="s">
        <v>19</v>
      </c>
      <c r="D134" s="1" t="s">
        <v>57</v>
      </c>
      <c r="E134" s="1" t="s">
        <v>21</v>
      </c>
      <c r="F134" s="1" t="s">
        <v>251</v>
      </c>
      <c r="G134" s="1" t="s">
        <v>21</v>
      </c>
      <c r="H134" s="1" t="s">
        <v>21</v>
      </c>
      <c r="I134" s="1" t="s">
        <v>21</v>
      </c>
    </row>
    <row r="135" spans="1:9" ht="88.5" hidden="1" x14ac:dyDescent="0.75">
      <c r="A135" s="1" t="s">
        <v>252</v>
      </c>
      <c r="B135" s="1" t="s">
        <v>28</v>
      </c>
      <c r="C135" s="1" t="s">
        <v>32</v>
      </c>
      <c r="D135" s="1" t="s">
        <v>235</v>
      </c>
      <c r="E135" s="1" t="s">
        <v>21</v>
      </c>
      <c r="F135" s="1" t="s">
        <v>21</v>
      </c>
      <c r="G135" s="1" t="s">
        <v>21</v>
      </c>
      <c r="H135" s="1" t="s">
        <v>21</v>
      </c>
      <c r="I135" s="1" t="s">
        <v>21</v>
      </c>
    </row>
    <row r="136" spans="1:9" ht="59" hidden="1" x14ac:dyDescent="0.75">
      <c r="A136" s="1" t="s">
        <v>253</v>
      </c>
      <c r="B136" s="1" t="s">
        <v>18</v>
      </c>
      <c r="C136" s="1" t="s">
        <v>29</v>
      </c>
      <c r="D136" s="1" t="s">
        <v>115</v>
      </c>
      <c r="E136" s="1" t="s">
        <v>21</v>
      </c>
      <c r="F136" s="1" t="s">
        <v>21</v>
      </c>
      <c r="G136" s="1" t="s">
        <v>21</v>
      </c>
      <c r="H136" s="1" t="s">
        <v>21</v>
      </c>
      <c r="I136" s="1" t="s">
        <v>21</v>
      </c>
    </row>
    <row r="137" spans="1:9" ht="59" hidden="1" x14ac:dyDescent="0.75">
      <c r="A137" s="1" t="s">
        <v>254</v>
      </c>
      <c r="B137" s="1" t="s">
        <v>23</v>
      </c>
      <c r="C137" s="1" t="s">
        <v>45</v>
      </c>
      <c r="D137" s="1" t="s">
        <v>81</v>
      </c>
      <c r="E137" s="1" t="s">
        <v>21</v>
      </c>
      <c r="F137" s="1" t="s">
        <v>21</v>
      </c>
      <c r="G137" s="1" t="s">
        <v>21</v>
      </c>
      <c r="H137" s="1" t="s">
        <v>21</v>
      </c>
      <c r="I137" s="1" t="s">
        <v>21</v>
      </c>
    </row>
    <row r="138" spans="1:9" ht="59" x14ac:dyDescent="0.75">
      <c r="A138" s="1" t="s">
        <v>255</v>
      </c>
      <c r="B138" s="1" t="s">
        <v>28</v>
      </c>
      <c r="C138" s="1" t="s">
        <v>19</v>
      </c>
      <c r="D138" s="1" t="s">
        <v>57</v>
      </c>
      <c r="E138" s="1" t="s">
        <v>21</v>
      </c>
      <c r="F138" s="1" t="s">
        <v>21</v>
      </c>
      <c r="G138" s="1" t="s">
        <v>21</v>
      </c>
      <c r="H138" s="1" t="s">
        <v>21</v>
      </c>
      <c r="I138" s="1" t="s">
        <v>256</v>
      </c>
    </row>
    <row r="139" spans="1:9" ht="59" hidden="1" x14ac:dyDescent="0.75">
      <c r="A139" s="1" t="s">
        <v>257</v>
      </c>
      <c r="B139" s="1" t="s">
        <v>28</v>
      </c>
      <c r="C139" s="1" t="s">
        <v>19</v>
      </c>
      <c r="D139" s="1" t="s">
        <v>235</v>
      </c>
      <c r="E139" s="1" t="s">
        <v>258</v>
      </c>
      <c r="F139" s="1" t="s">
        <v>21</v>
      </c>
      <c r="G139" s="1" t="s">
        <v>21</v>
      </c>
      <c r="H139" s="1" t="s">
        <v>21</v>
      </c>
      <c r="I139" s="1" t="s">
        <v>21</v>
      </c>
    </row>
    <row r="140" spans="1:9" ht="59" hidden="1" x14ac:dyDescent="0.75">
      <c r="A140" s="1" t="s">
        <v>259</v>
      </c>
      <c r="B140" s="1" t="s">
        <v>23</v>
      </c>
      <c r="C140" s="1" t="s">
        <v>29</v>
      </c>
      <c r="D140" s="1" t="s">
        <v>61</v>
      </c>
      <c r="E140" s="1" t="s">
        <v>21</v>
      </c>
      <c r="F140" s="1" t="s">
        <v>21</v>
      </c>
      <c r="G140" s="1" t="s">
        <v>21</v>
      </c>
      <c r="H140" s="1" t="s">
        <v>260</v>
      </c>
      <c r="I140" s="1" t="s">
        <v>21</v>
      </c>
    </row>
    <row r="141" spans="1:9" ht="73.75" x14ac:dyDescent="0.75">
      <c r="A141" s="1" t="s">
        <v>261</v>
      </c>
      <c r="B141" s="1" t="s">
        <v>103</v>
      </c>
      <c r="C141" s="1" t="s">
        <v>24</v>
      </c>
      <c r="D141" s="1" t="s">
        <v>20</v>
      </c>
      <c r="E141" s="1" t="s">
        <v>21</v>
      </c>
      <c r="F141" s="1" t="s">
        <v>21</v>
      </c>
      <c r="G141" s="1" t="s">
        <v>21</v>
      </c>
      <c r="H141" s="1" t="s">
        <v>21</v>
      </c>
      <c r="I141" s="1" t="s">
        <v>262</v>
      </c>
    </row>
    <row r="142" spans="1:9" ht="59" hidden="1" x14ac:dyDescent="0.75">
      <c r="A142" s="1" t="s">
        <v>263</v>
      </c>
      <c r="B142" s="1" t="s">
        <v>18</v>
      </c>
      <c r="C142" s="1" t="s">
        <v>19</v>
      </c>
      <c r="D142" s="1" t="s">
        <v>188</v>
      </c>
      <c r="E142" s="1" t="s">
        <v>21</v>
      </c>
      <c r="F142" s="1" t="s">
        <v>21</v>
      </c>
      <c r="G142" s="1" t="s">
        <v>21</v>
      </c>
      <c r="H142" s="1" t="s">
        <v>21</v>
      </c>
      <c r="I142" s="1" t="s">
        <v>21</v>
      </c>
    </row>
    <row r="143" spans="1:9" ht="73.75" hidden="1" x14ac:dyDescent="0.75">
      <c r="A143" s="1" t="s">
        <v>264</v>
      </c>
      <c r="B143" s="1" t="s">
        <v>28</v>
      </c>
      <c r="C143" s="1" t="s">
        <v>29</v>
      </c>
      <c r="D143" s="1" t="s">
        <v>66</v>
      </c>
      <c r="E143" s="1" t="s">
        <v>21</v>
      </c>
      <c r="F143" s="1" t="s">
        <v>21</v>
      </c>
      <c r="G143" s="1" t="s">
        <v>21</v>
      </c>
      <c r="H143" s="1" t="s">
        <v>21</v>
      </c>
      <c r="I143" s="1" t="s">
        <v>21</v>
      </c>
    </row>
    <row r="144" spans="1:9" ht="103.25" hidden="1" x14ac:dyDescent="0.75">
      <c r="A144" s="1" t="s">
        <v>265</v>
      </c>
      <c r="B144" s="1" t="s">
        <v>103</v>
      </c>
      <c r="C144" s="1" t="s">
        <v>45</v>
      </c>
      <c r="D144" s="1" t="s">
        <v>33</v>
      </c>
      <c r="E144" s="1" t="s">
        <v>21</v>
      </c>
      <c r="F144" s="1" t="s">
        <v>266</v>
      </c>
      <c r="G144" s="1" t="s">
        <v>21</v>
      </c>
      <c r="H144" s="1" t="s">
        <v>21</v>
      </c>
      <c r="I144" s="1" t="s">
        <v>21</v>
      </c>
    </row>
    <row r="145" spans="1:9" ht="59" hidden="1" x14ac:dyDescent="0.75">
      <c r="A145" s="1" t="s">
        <v>267</v>
      </c>
      <c r="B145" s="1" t="s">
        <v>103</v>
      </c>
      <c r="C145" s="1" t="s">
        <v>29</v>
      </c>
      <c r="D145" s="1" t="s">
        <v>30</v>
      </c>
      <c r="E145" s="1" t="s">
        <v>21</v>
      </c>
      <c r="F145" s="1" t="s">
        <v>21</v>
      </c>
      <c r="G145" s="1" t="s">
        <v>21</v>
      </c>
      <c r="H145" s="1" t="s">
        <v>268</v>
      </c>
      <c r="I145" s="1" t="s">
        <v>21</v>
      </c>
    </row>
    <row r="146" spans="1:9" ht="59" hidden="1" x14ac:dyDescent="0.75">
      <c r="A146" s="1" t="s">
        <v>269</v>
      </c>
      <c r="B146" s="1" t="s">
        <v>23</v>
      </c>
      <c r="C146" s="1" t="s">
        <v>29</v>
      </c>
      <c r="D146" s="1" t="s">
        <v>127</v>
      </c>
      <c r="E146" s="1" t="s">
        <v>270</v>
      </c>
      <c r="F146" s="1" t="s">
        <v>21</v>
      </c>
      <c r="G146" s="1" t="s">
        <v>21</v>
      </c>
      <c r="H146" s="1" t="s">
        <v>21</v>
      </c>
      <c r="I146" s="1" t="s">
        <v>21</v>
      </c>
    </row>
    <row r="147" spans="1:9" ht="73.75" x14ac:dyDescent="0.75">
      <c r="A147" s="1" t="s">
        <v>271</v>
      </c>
      <c r="B147" s="1" t="s">
        <v>23</v>
      </c>
      <c r="C147" s="1" t="s">
        <v>19</v>
      </c>
      <c r="D147" s="1" t="s">
        <v>66</v>
      </c>
      <c r="E147" s="1" t="s">
        <v>21</v>
      </c>
      <c r="F147" s="1" t="s">
        <v>21</v>
      </c>
      <c r="G147" s="1" t="s">
        <v>21</v>
      </c>
      <c r="H147" s="1" t="s">
        <v>21</v>
      </c>
      <c r="I147" s="1" t="s">
        <v>272</v>
      </c>
    </row>
    <row r="148" spans="1:9" ht="59" hidden="1" x14ac:dyDescent="0.75">
      <c r="A148" s="1" t="s">
        <v>273</v>
      </c>
      <c r="B148" s="1" t="s">
        <v>18</v>
      </c>
      <c r="C148" s="1" t="s">
        <v>45</v>
      </c>
      <c r="D148" s="1" t="s">
        <v>30</v>
      </c>
      <c r="E148" s="1" t="s">
        <v>21</v>
      </c>
      <c r="F148" s="1" t="s">
        <v>21</v>
      </c>
      <c r="G148" s="1" t="s">
        <v>21</v>
      </c>
      <c r="H148" s="1" t="s">
        <v>21</v>
      </c>
      <c r="I148" s="1" t="s">
        <v>21</v>
      </c>
    </row>
    <row r="149" spans="1:9" ht="59" hidden="1" x14ac:dyDescent="0.75">
      <c r="A149" s="1" t="s">
        <v>274</v>
      </c>
      <c r="B149" s="1" t="s">
        <v>18</v>
      </c>
      <c r="C149" s="1" t="s">
        <v>29</v>
      </c>
      <c r="D149" s="1" t="s">
        <v>115</v>
      </c>
      <c r="E149" s="1" t="s">
        <v>21</v>
      </c>
      <c r="F149" s="1" t="s">
        <v>21</v>
      </c>
      <c r="G149" s="1" t="s">
        <v>21</v>
      </c>
      <c r="H149" s="1" t="s">
        <v>275</v>
      </c>
      <c r="I149" s="1" t="s">
        <v>21</v>
      </c>
    </row>
    <row r="150" spans="1:9" ht="59" hidden="1" x14ac:dyDescent="0.75">
      <c r="A150" s="1" t="s">
        <v>276</v>
      </c>
      <c r="B150" s="1" t="s">
        <v>35</v>
      </c>
      <c r="C150" s="1" t="s">
        <v>19</v>
      </c>
      <c r="D150" s="1" t="s">
        <v>57</v>
      </c>
      <c r="E150" s="1" t="s">
        <v>21</v>
      </c>
      <c r="F150" s="1" t="s">
        <v>21</v>
      </c>
      <c r="G150" s="1" t="s">
        <v>277</v>
      </c>
      <c r="H150" s="1" t="s">
        <v>21</v>
      </c>
      <c r="I150" s="1" t="s">
        <v>21</v>
      </c>
    </row>
    <row r="151" spans="1:9" ht="59" hidden="1" x14ac:dyDescent="0.75">
      <c r="A151" s="1" t="s">
        <v>278</v>
      </c>
      <c r="B151" s="1" t="s">
        <v>28</v>
      </c>
      <c r="C151" s="1" t="s">
        <v>29</v>
      </c>
      <c r="D151" s="1" t="s">
        <v>57</v>
      </c>
      <c r="E151" s="1" t="s">
        <v>21</v>
      </c>
      <c r="F151" s="1" t="s">
        <v>21</v>
      </c>
      <c r="G151" s="1" t="s">
        <v>21</v>
      </c>
      <c r="H151" s="1" t="s">
        <v>21</v>
      </c>
      <c r="I151" s="1" t="s">
        <v>21</v>
      </c>
    </row>
    <row r="152" spans="1:9" ht="59" hidden="1" x14ac:dyDescent="0.75">
      <c r="A152" s="1" t="s">
        <v>279</v>
      </c>
      <c r="B152" s="1" t="s">
        <v>23</v>
      </c>
      <c r="C152" s="1" t="s">
        <v>24</v>
      </c>
      <c r="D152" s="1" t="s">
        <v>136</v>
      </c>
      <c r="E152" s="1" t="s">
        <v>21</v>
      </c>
      <c r="F152" s="1" t="s">
        <v>21</v>
      </c>
      <c r="G152" s="1" t="s">
        <v>21</v>
      </c>
      <c r="H152" s="1" t="s">
        <v>280</v>
      </c>
      <c r="I152" s="1" t="s">
        <v>21</v>
      </c>
    </row>
    <row r="153" spans="1:9" ht="59" hidden="1" x14ac:dyDescent="0.75">
      <c r="A153" s="1" t="s">
        <v>281</v>
      </c>
      <c r="B153" s="1" t="s">
        <v>23</v>
      </c>
      <c r="C153" s="1" t="s">
        <v>45</v>
      </c>
      <c r="D153" s="1" t="s">
        <v>63</v>
      </c>
      <c r="E153" s="1" t="s">
        <v>282</v>
      </c>
      <c r="F153" s="1" t="s">
        <v>21</v>
      </c>
      <c r="G153" s="1" t="s">
        <v>21</v>
      </c>
      <c r="H153" s="1" t="s">
        <v>21</v>
      </c>
      <c r="I153" s="1" t="s">
        <v>21</v>
      </c>
    </row>
    <row r="154" spans="1:9" ht="59" hidden="1" x14ac:dyDescent="0.75">
      <c r="A154" s="1" t="s">
        <v>283</v>
      </c>
      <c r="B154" s="1" t="s">
        <v>103</v>
      </c>
      <c r="C154" s="1" t="s">
        <v>24</v>
      </c>
      <c r="D154" s="1" t="s">
        <v>30</v>
      </c>
      <c r="E154" s="1" t="s">
        <v>284</v>
      </c>
      <c r="F154" s="1" t="s">
        <v>21</v>
      </c>
      <c r="G154" s="1" t="s">
        <v>21</v>
      </c>
      <c r="H154" s="1" t="s">
        <v>21</v>
      </c>
      <c r="I154" s="1" t="s">
        <v>21</v>
      </c>
    </row>
    <row r="155" spans="1:9" ht="88.5" hidden="1" x14ac:dyDescent="0.75">
      <c r="A155" s="1" t="s">
        <v>285</v>
      </c>
      <c r="B155" s="1" t="s">
        <v>23</v>
      </c>
      <c r="C155" s="1" t="s">
        <v>36</v>
      </c>
      <c r="D155" s="1" t="s">
        <v>286</v>
      </c>
      <c r="E155" s="1" t="s">
        <v>21</v>
      </c>
      <c r="F155" s="1" t="s">
        <v>21</v>
      </c>
      <c r="G155" s="1" t="s">
        <v>21</v>
      </c>
      <c r="H155" s="1" t="s">
        <v>21</v>
      </c>
      <c r="I155" s="1" t="s">
        <v>21</v>
      </c>
    </row>
    <row r="156" spans="1:9" ht="88.5" hidden="1" x14ac:dyDescent="0.75">
      <c r="A156" s="1" t="s">
        <v>287</v>
      </c>
      <c r="B156" s="1" t="s">
        <v>18</v>
      </c>
      <c r="C156" s="1" t="s">
        <v>36</v>
      </c>
      <c r="D156" s="1" t="s">
        <v>40</v>
      </c>
      <c r="E156" s="1" t="s">
        <v>21</v>
      </c>
      <c r="F156" s="1" t="s">
        <v>21</v>
      </c>
      <c r="G156" s="1" t="s">
        <v>21</v>
      </c>
      <c r="H156" s="1" t="s">
        <v>21</v>
      </c>
      <c r="I156" s="1" t="s">
        <v>21</v>
      </c>
    </row>
    <row r="157" spans="1:9" ht="59" hidden="1" x14ac:dyDescent="0.75">
      <c r="A157" s="1" t="s">
        <v>288</v>
      </c>
      <c r="B157" s="1" t="s">
        <v>18</v>
      </c>
      <c r="C157" s="1" t="s">
        <v>29</v>
      </c>
      <c r="D157" s="1" t="s">
        <v>63</v>
      </c>
      <c r="E157" s="1" t="s">
        <v>21</v>
      </c>
      <c r="F157" s="1" t="s">
        <v>21</v>
      </c>
      <c r="G157" s="1" t="s">
        <v>21</v>
      </c>
      <c r="H157" s="1" t="s">
        <v>21</v>
      </c>
      <c r="I157" s="1" t="s">
        <v>21</v>
      </c>
    </row>
    <row r="158" spans="1:9" ht="88.5" hidden="1" x14ac:dyDescent="0.75">
      <c r="A158" s="1" t="s">
        <v>289</v>
      </c>
      <c r="B158" s="1" t="s">
        <v>23</v>
      </c>
      <c r="C158" s="1" t="s">
        <v>32</v>
      </c>
      <c r="D158" s="1" t="s">
        <v>54</v>
      </c>
      <c r="E158" s="1" t="s">
        <v>290</v>
      </c>
      <c r="F158" s="1" t="s">
        <v>21</v>
      </c>
      <c r="G158" s="1" t="s">
        <v>21</v>
      </c>
      <c r="H158" s="1" t="s">
        <v>21</v>
      </c>
      <c r="I158" s="1" t="s">
        <v>21</v>
      </c>
    </row>
    <row r="159" spans="1:9" ht="59" hidden="1" x14ac:dyDescent="0.75">
      <c r="A159" s="1" t="s">
        <v>291</v>
      </c>
      <c r="B159" s="1" t="s">
        <v>18</v>
      </c>
      <c r="C159" s="1" t="s">
        <v>45</v>
      </c>
      <c r="D159" s="1" t="s">
        <v>61</v>
      </c>
      <c r="E159" s="1" t="s">
        <v>21</v>
      </c>
      <c r="F159" s="1" t="s">
        <v>21</v>
      </c>
      <c r="G159" s="1" t="s">
        <v>21</v>
      </c>
      <c r="H159" s="1" t="s">
        <v>21</v>
      </c>
      <c r="I159" s="1" t="s">
        <v>21</v>
      </c>
    </row>
    <row r="160" spans="1:9" ht="59" hidden="1" x14ac:dyDescent="0.75">
      <c r="A160" s="1" t="s">
        <v>292</v>
      </c>
      <c r="B160" s="1" t="s">
        <v>35</v>
      </c>
      <c r="C160" s="1" t="s">
        <v>19</v>
      </c>
      <c r="D160" s="1" t="s">
        <v>47</v>
      </c>
      <c r="E160" s="1" t="s">
        <v>21</v>
      </c>
      <c r="F160" s="1" t="s">
        <v>21</v>
      </c>
      <c r="G160" s="1" t="s">
        <v>21</v>
      </c>
      <c r="H160" s="1" t="s">
        <v>21</v>
      </c>
      <c r="I160" s="1" t="s">
        <v>21</v>
      </c>
    </row>
    <row r="161" spans="1:9" ht="59" hidden="1" x14ac:dyDescent="0.75">
      <c r="A161" s="1" t="s">
        <v>293</v>
      </c>
      <c r="B161" s="1" t="s">
        <v>18</v>
      </c>
      <c r="C161" s="1" t="s">
        <v>29</v>
      </c>
      <c r="D161" s="1" t="s">
        <v>30</v>
      </c>
      <c r="E161" s="1" t="s">
        <v>21</v>
      </c>
      <c r="F161" s="1" t="s">
        <v>21</v>
      </c>
      <c r="G161" s="1" t="s">
        <v>21</v>
      </c>
      <c r="H161" s="1" t="s">
        <v>21</v>
      </c>
      <c r="I161" s="1" t="s">
        <v>21</v>
      </c>
    </row>
    <row r="162" spans="1:9" ht="59" hidden="1" x14ac:dyDescent="0.75">
      <c r="A162" s="1" t="s">
        <v>294</v>
      </c>
      <c r="B162" s="1" t="s">
        <v>23</v>
      </c>
      <c r="C162" s="1" t="s">
        <v>29</v>
      </c>
      <c r="D162" s="1" t="s">
        <v>20</v>
      </c>
      <c r="E162" s="1" t="s">
        <v>21</v>
      </c>
      <c r="F162" s="1" t="s">
        <v>295</v>
      </c>
      <c r="G162" s="1" t="s">
        <v>21</v>
      </c>
      <c r="H162" s="1" t="s">
        <v>21</v>
      </c>
      <c r="I162" s="1" t="s">
        <v>21</v>
      </c>
    </row>
    <row r="163" spans="1:9" ht="59" hidden="1" x14ac:dyDescent="0.75">
      <c r="A163" s="1" t="s">
        <v>296</v>
      </c>
      <c r="B163" s="1" t="s">
        <v>18</v>
      </c>
      <c r="C163" s="1" t="s">
        <v>29</v>
      </c>
      <c r="D163" s="1" t="s">
        <v>38</v>
      </c>
      <c r="E163" s="1" t="s">
        <v>21</v>
      </c>
      <c r="F163" s="1" t="s">
        <v>21</v>
      </c>
      <c r="G163" s="1" t="s">
        <v>21</v>
      </c>
      <c r="H163" s="1" t="s">
        <v>21</v>
      </c>
      <c r="I163" s="1" t="s">
        <v>21</v>
      </c>
    </row>
    <row r="164" spans="1:9" ht="59" hidden="1" x14ac:dyDescent="0.75">
      <c r="A164" s="1" t="s">
        <v>297</v>
      </c>
      <c r="B164" s="1" t="s">
        <v>97</v>
      </c>
      <c r="C164" s="1" t="s">
        <v>29</v>
      </c>
      <c r="D164" s="1" t="s">
        <v>57</v>
      </c>
      <c r="E164" s="1" t="s">
        <v>21</v>
      </c>
      <c r="F164" s="1" t="s">
        <v>21</v>
      </c>
      <c r="G164" s="1" t="s">
        <v>21</v>
      </c>
      <c r="H164" s="1" t="s">
        <v>21</v>
      </c>
      <c r="I164" s="1" t="s">
        <v>21</v>
      </c>
    </row>
    <row r="165" spans="1:9" ht="59" hidden="1" x14ac:dyDescent="0.75">
      <c r="A165" s="1" t="s">
        <v>298</v>
      </c>
      <c r="B165" s="1" t="s">
        <v>18</v>
      </c>
      <c r="C165" s="1" t="s">
        <v>24</v>
      </c>
      <c r="D165" s="1" t="s">
        <v>51</v>
      </c>
      <c r="E165" s="1" t="s">
        <v>21</v>
      </c>
      <c r="F165" s="1" t="s">
        <v>21</v>
      </c>
      <c r="G165" s="1" t="s">
        <v>21</v>
      </c>
      <c r="H165" s="1" t="s">
        <v>21</v>
      </c>
      <c r="I165" s="1" t="s">
        <v>21</v>
      </c>
    </row>
    <row r="166" spans="1:9" ht="88.5" hidden="1" x14ac:dyDescent="0.75">
      <c r="A166" s="1" t="s">
        <v>299</v>
      </c>
      <c r="B166" s="1" t="s">
        <v>28</v>
      </c>
      <c r="C166" s="1" t="s">
        <v>32</v>
      </c>
      <c r="D166" s="1" t="s">
        <v>20</v>
      </c>
      <c r="E166" s="1" t="s">
        <v>21</v>
      </c>
      <c r="F166" s="1" t="s">
        <v>21</v>
      </c>
      <c r="G166" s="1" t="s">
        <v>21</v>
      </c>
      <c r="H166" s="1" t="s">
        <v>21</v>
      </c>
      <c r="I166" s="1" t="s">
        <v>21</v>
      </c>
    </row>
    <row r="167" spans="1:9" ht="59" hidden="1" x14ac:dyDescent="0.75">
      <c r="A167" s="1" t="s">
        <v>300</v>
      </c>
      <c r="B167" s="1" t="s">
        <v>18</v>
      </c>
      <c r="C167" s="1" t="s">
        <v>29</v>
      </c>
      <c r="D167" s="1" t="s">
        <v>61</v>
      </c>
      <c r="E167" s="1" t="s">
        <v>21</v>
      </c>
      <c r="F167" s="1" t="s">
        <v>21</v>
      </c>
      <c r="G167" s="1" t="s">
        <v>21</v>
      </c>
      <c r="H167" s="1" t="s">
        <v>21</v>
      </c>
      <c r="I167" s="1" t="s">
        <v>21</v>
      </c>
    </row>
    <row r="168" spans="1:9" ht="59" hidden="1" x14ac:dyDescent="0.75">
      <c r="A168" s="1" t="s">
        <v>301</v>
      </c>
      <c r="B168" s="1" t="s">
        <v>35</v>
      </c>
      <c r="C168" s="1" t="s">
        <v>24</v>
      </c>
      <c r="D168" s="1" t="s">
        <v>51</v>
      </c>
      <c r="E168" s="1" t="s">
        <v>21</v>
      </c>
      <c r="F168" s="1" t="s">
        <v>21</v>
      </c>
      <c r="G168" s="1" t="s">
        <v>21</v>
      </c>
      <c r="H168" s="1" t="s">
        <v>21</v>
      </c>
      <c r="I168" s="1" t="s">
        <v>21</v>
      </c>
    </row>
    <row r="169" spans="1:9" ht="88.5" hidden="1" x14ac:dyDescent="0.75">
      <c r="A169" s="1" t="s">
        <v>302</v>
      </c>
      <c r="B169" s="1" t="s">
        <v>28</v>
      </c>
      <c r="C169" s="1" t="s">
        <v>32</v>
      </c>
      <c r="D169" s="1" t="s">
        <v>30</v>
      </c>
      <c r="E169" s="1" t="s">
        <v>303</v>
      </c>
      <c r="F169" s="1" t="s">
        <v>21</v>
      </c>
      <c r="G169" s="1" t="s">
        <v>21</v>
      </c>
      <c r="H169" s="1" t="s">
        <v>21</v>
      </c>
      <c r="I169" s="1" t="s">
        <v>21</v>
      </c>
    </row>
    <row r="170" spans="1:9" ht="59" hidden="1" x14ac:dyDescent="0.75">
      <c r="A170" s="1" t="s">
        <v>304</v>
      </c>
      <c r="B170" s="1" t="s">
        <v>23</v>
      </c>
      <c r="C170" s="1" t="s">
        <v>29</v>
      </c>
      <c r="D170" s="1" t="s">
        <v>98</v>
      </c>
      <c r="E170" s="1" t="s">
        <v>21</v>
      </c>
      <c r="F170" s="1" t="s">
        <v>305</v>
      </c>
      <c r="G170" s="1" t="s">
        <v>21</v>
      </c>
      <c r="H170" s="1" t="s">
        <v>21</v>
      </c>
      <c r="I170" s="1" t="s">
        <v>21</v>
      </c>
    </row>
    <row r="171" spans="1:9" ht="88.5" hidden="1" x14ac:dyDescent="0.75">
      <c r="A171" s="1" t="s">
        <v>306</v>
      </c>
      <c r="B171" s="1" t="s">
        <v>18</v>
      </c>
      <c r="C171" s="1" t="s">
        <v>36</v>
      </c>
      <c r="D171" s="1" t="s">
        <v>57</v>
      </c>
      <c r="E171" s="1" t="s">
        <v>307</v>
      </c>
      <c r="F171" s="1" t="s">
        <v>21</v>
      </c>
      <c r="G171" s="1" t="s">
        <v>21</v>
      </c>
      <c r="H171" s="1" t="s">
        <v>21</v>
      </c>
      <c r="I171" s="1" t="s">
        <v>21</v>
      </c>
    </row>
    <row r="172" spans="1:9" ht="59" x14ac:dyDescent="0.75">
      <c r="A172" s="1" t="s">
        <v>308</v>
      </c>
      <c r="B172" s="1" t="s">
        <v>28</v>
      </c>
      <c r="C172" s="1" t="s">
        <v>29</v>
      </c>
      <c r="D172" s="1" t="s">
        <v>30</v>
      </c>
      <c r="E172" s="1" t="s">
        <v>21</v>
      </c>
      <c r="F172" s="1" t="s">
        <v>21</v>
      </c>
      <c r="G172" s="1" t="s">
        <v>21</v>
      </c>
      <c r="H172" s="1" t="s">
        <v>21</v>
      </c>
      <c r="I172" s="1" t="s">
        <v>309</v>
      </c>
    </row>
    <row r="173" spans="1:9" ht="59" hidden="1" x14ac:dyDescent="0.75">
      <c r="A173" s="1" t="s">
        <v>310</v>
      </c>
      <c r="B173" s="1" t="s">
        <v>23</v>
      </c>
      <c r="C173" s="1" t="s">
        <v>29</v>
      </c>
      <c r="D173" s="1" t="s">
        <v>57</v>
      </c>
      <c r="E173" s="1" t="s">
        <v>21</v>
      </c>
      <c r="F173" s="1" t="s">
        <v>21</v>
      </c>
      <c r="G173" s="1" t="s">
        <v>21</v>
      </c>
      <c r="H173" s="1" t="s">
        <v>21</v>
      </c>
      <c r="I173" s="1" t="s">
        <v>21</v>
      </c>
    </row>
    <row r="174" spans="1:9" ht="59" hidden="1" x14ac:dyDescent="0.75">
      <c r="A174" s="1" t="s">
        <v>311</v>
      </c>
      <c r="B174" s="1" t="s">
        <v>18</v>
      </c>
      <c r="C174" s="1" t="s">
        <v>29</v>
      </c>
      <c r="D174" s="1" t="s">
        <v>61</v>
      </c>
      <c r="E174" s="1" t="s">
        <v>21</v>
      </c>
      <c r="F174" s="1" t="s">
        <v>21</v>
      </c>
      <c r="G174" s="1" t="s">
        <v>21</v>
      </c>
      <c r="H174" s="1" t="s">
        <v>312</v>
      </c>
      <c r="I174" s="1" t="s">
        <v>21</v>
      </c>
    </row>
    <row r="175" spans="1:9" ht="59" hidden="1" x14ac:dyDescent="0.75">
      <c r="A175" s="1" t="s">
        <v>313</v>
      </c>
      <c r="B175" s="1" t="s">
        <v>28</v>
      </c>
      <c r="C175" s="1" t="s">
        <v>45</v>
      </c>
      <c r="D175" s="1" t="s">
        <v>235</v>
      </c>
      <c r="E175" s="1" t="s">
        <v>314</v>
      </c>
      <c r="F175" s="1" t="s">
        <v>21</v>
      </c>
      <c r="G175" s="1" t="s">
        <v>21</v>
      </c>
      <c r="H175" s="1" t="s">
        <v>21</v>
      </c>
      <c r="I175" s="1" t="s">
        <v>21</v>
      </c>
    </row>
    <row r="176" spans="1:9" ht="59" hidden="1" x14ac:dyDescent="0.75">
      <c r="A176" s="1" t="s">
        <v>315</v>
      </c>
      <c r="B176" s="1" t="s">
        <v>35</v>
      </c>
      <c r="C176" s="1" t="s">
        <v>316</v>
      </c>
      <c r="D176" s="1" t="s">
        <v>30</v>
      </c>
      <c r="E176" s="1" t="s">
        <v>21</v>
      </c>
      <c r="F176" s="1" t="s">
        <v>21</v>
      </c>
      <c r="G176" s="1" t="s">
        <v>21</v>
      </c>
      <c r="H176" s="1" t="s">
        <v>21</v>
      </c>
      <c r="I176" s="1" t="s">
        <v>21</v>
      </c>
    </row>
    <row r="177" spans="1:9" ht="59" hidden="1" x14ac:dyDescent="0.75">
      <c r="A177" s="1" t="s">
        <v>317</v>
      </c>
      <c r="B177" s="1" t="s">
        <v>23</v>
      </c>
      <c r="C177" s="1" t="s">
        <v>29</v>
      </c>
      <c r="D177" s="1" t="s">
        <v>81</v>
      </c>
      <c r="E177" s="1" t="s">
        <v>21</v>
      </c>
      <c r="F177" s="1" t="s">
        <v>21</v>
      </c>
      <c r="G177" s="1" t="s">
        <v>21</v>
      </c>
      <c r="H177" s="1" t="s">
        <v>21</v>
      </c>
      <c r="I177" s="1" t="s">
        <v>21</v>
      </c>
    </row>
    <row r="178" spans="1:9" ht="59" hidden="1" x14ac:dyDescent="0.75">
      <c r="A178" s="1" t="s">
        <v>318</v>
      </c>
      <c r="B178" s="1" t="s">
        <v>28</v>
      </c>
      <c r="C178" s="1" t="s">
        <v>19</v>
      </c>
      <c r="D178" s="1" t="s">
        <v>115</v>
      </c>
      <c r="E178" s="1" t="s">
        <v>21</v>
      </c>
      <c r="F178" s="1" t="s">
        <v>21</v>
      </c>
      <c r="G178" s="1" t="s">
        <v>21</v>
      </c>
      <c r="H178" s="1" t="s">
        <v>21</v>
      </c>
      <c r="I178" s="1" t="s">
        <v>21</v>
      </c>
    </row>
    <row r="179" spans="1:9" ht="59" hidden="1" x14ac:dyDescent="0.75">
      <c r="A179" s="1" t="s">
        <v>319</v>
      </c>
      <c r="B179" s="1" t="s">
        <v>28</v>
      </c>
      <c r="C179" s="1" t="s">
        <v>29</v>
      </c>
      <c r="D179" s="1" t="s">
        <v>20</v>
      </c>
      <c r="E179" s="1" t="s">
        <v>21</v>
      </c>
      <c r="F179" s="1" t="s">
        <v>21</v>
      </c>
      <c r="G179" s="1" t="s">
        <v>21</v>
      </c>
      <c r="H179" s="1" t="s">
        <v>320</v>
      </c>
      <c r="I179" s="1" t="s">
        <v>21</v>
      </c>
    </row>
    <row r="180" spans="1:9" ht="59" hidden="1" x14ac:dyDescent="0.75">
      <c r="A180" s="1" t="s">
        <v>321</v>
      </c>
      <c r="B180" s="1" t="s">
        <v>35</v>
      </c>
      <c r="C180" s="1" t="s">
        <v>19</v>
      </c>
      <c r="D180" s="1" t="s">
        <v>47</v>
      </c>
      <c r="E180" s="1" t="s">
        <v>21</v>
      </c>
      <c r="F180" s="1" t="s">
        <v>21</v>
      </c>
      <c r="G180" s="1" t="s">
        <v>21</v>
      </c>
      <c r="H180" s="1" t="s">
        <v>21</v>
      </c>
      <c r="I180" s="1" t="s">
        <v>21</v>
      </c>
    </row>
    <row r="181" spans="1:9" ht="59" hidden="1" x14ac:dyDescent="0.75">
      <c r="A181" s="1" t="s">
        <v>322</v>
      </c>
      <c r="B181" s="1" t="s">
        <v>18</v>
      </c>
      <c r="C181" s="1" t="s">
        <v>29</v>
      </c>
      <c r="D181" s="1" t="s">
        <v>54</v>
      </c>
      <c r="E181" s="1" t="s">
        <v>21</v>
      </c>
      <c r="F181" s="1" t="s">
        <v>21</v>
      </c>
      <c r="G181" s="1" t="s">
        <v>21</v>
      </c>
      <c r="H181" s="1" t="s">
        <v>21</v>
      </c>
      <c r="I181" s="1" t="s">
        <v>21</v>
      </c>
    </row>
    <row r="182" spans="1:9" ht="59" hidden="1" x14ac:dyDescent="0.75">
      <c r="A182" s="1" t="s">
        <v>323</v>
      </c>
      <c r="B182" s="1" t="s">
        <v>28</v>
      </c>
      <c r="C182" s="1" t="s">
        <v>29</v>
      </c>
      <c r="D182" s="1" t="s">
        <v>63</v>
      </c>
      <c r="E182" s="1" t="s">
        <v>324</v>
      </c>
      <c r="F182" s="1" t="s">
        <v>21</v>
      </c>
      <c r="G182" s="1" t="s">
        <v>21</v>
      </c>
      <c r="H182" s="1" t="s">
        <v>21</v>
      </c>
      <c r="I182" s="1" t="s">
        <v>21</v>
      </c>
    </row>
    <row r="183" spans="1:9" ht="59" hidden="1" x14ac:dyDescent="0.75">
      <c r="A183" s="1" t="s">
        <v>325</v>
      </c>
      <c r="B183" s="1" t="s">
        <v>28</v>
      </c>
      <c r="C183" s="1" t="s">
        <v>29</v>
      </c>
      <c r="D183" s="1" t="s">
        <v>63</v>
      </c>
      <c r="E183" s="1" t="s">
        <v>21</v>
      </c>
      <c r="F183" s="1" t="s">
        <v>21</v>
      </c>
      <c r="G183" s="1" t="s">
        <v>21</v>
      </c>
      <c r="H183" s="1" t="s">
        <v>21</v>
      </c>
      <c r="I183" s="1" t="s">
        <v>21</v>
      </c>
    </row>
    <row r="184" spans="1:9" ht="103.25" hidden="1" x14ac:dyDescent="0.75">
      <c r="A184" s="1" t="s">
        <v>326</v>
      </c>
      <c r="B184" s="1" t="s">
        <v>18</v>
      </c>
      <c r="C184" s="1" t="s">
        <v>24</v>
      </c>
      <c r="D184" s="1" t="s">
        <v>33</v>
      </c>
      <c r="E184" s="1" t="s">
        <v>21</v>
      </c>
      <c r="F184" s="1" t="s">
        <v>21</v>
      </c>
      <c r="G184" s="1" t="s">
        <v>21</v>
      </c>
      <c r="H184" s="1" t="s">
        <v>21</v>
      </c>
      <c r="I184" s="1" t="s">
        <v>21</v>
      </c>
    </row>
    <row r="185" spans="1:9" ht="88.5" hidden="1" x14ac:dyDescent="0.75">
      <c r="A185" s="1" t="s">
        <v>327</v>
      </c>
      <c r="B185" s="1" t="s">
        <v>28</v>
      </c>
      <c r="C185" s="1" t="s">
        <v>122</v>
      </c>
      <c r="D185" s="1" t="s">
        <v>81</v>
      </c>
      <c r="E185" s="1" t="s">
        <v>21</v>
      </c>
      <c r="F185" s="1" t="s">
        <v>21</v>
      </c>
      <c r="G185" s="1" t="s">
        <v>21</v>
      </c>
      <c r="H185" s="1" t="s">
        <v>21</v>
      </c>
      <c r="I185" s="1" t="s">
        <v>21</v>
      </c>
    </row>
    <row r="186" spans="1:9" ht="59" hidden="1" x14ac:dyDescent="0.75">
      <c r="A186" s="1" t="s">
        <v>328</v>
      </c>
      <c r="B186" s="1" t="s">
        <v>35</v>
      </c>
      <c r="C186" s="1" t="s">
        <v>29</v>
      </c>
      <c r="D186" s="1" t="s">
        <v>47</v>
      </c>
      <c r="E186" s="1" t="s">
        <v>21</v>
      </c>
      <c r="F186" s="1" t="s">
        <v>21</v>
      </c>
      <c r="G186" s="1" t="s">
        <v>329</v>
      </c>
      <c r="H186" s="1" t="s">
        <v>21</v>
      </c>
      <c r="I186" s="1" t="s">
        <v>21</v>
      </c>
    </row>
    <row r="187" spans="1:9" ht="59" hidden="1" x14ac:dyDescent="0.75">
      <c r="A187" s="1" t="s">
        <v>330</v>
      </c>
      <c r="B187" s="1" t="s">
        <v>18</v>
      </c>
      <c r="C187" s="1" t="s">
        <v>316</v>
      </c>
      <c r="D187" s="1" t="s">
        <v>61</v>
      </c>
      <c r="E187" s="1" t="s">
        <v>21</v>
      </c>
      <c r="F187" s="1" t="s">
        <v>331</v>
      </c>
      <c r="G187" s="1" t="s">
        <v>21</v>
      </c>
      <c r="H187" s="1" t="s">
        <v>21</v>
      </c>
      <c r="I187" s="1" t="s">
        <v>21</v>
      </c>
    </row>
    <row r="188" spans="1:9" ht="59" hidden="1" x14ac:dyDescent="0.75">
      <c r="A188" s="1" t="s">
        <v>332</v>
      </c>
      <c r="B188" s="1" t="s">
        <v>18</v>
      </c>
      <c r="C188" s="1" t="s">
        <v>29</v>
      </c>
      <c r="D188" s="1" t="s">
        <v>40</v>
      </c>
      <c r="E188" s="1" t="s">
        <v>21</v>
      </c>
      <c r="F188" s="1" t="s">
        <v>21</v>
      </c>
      <c r="G188" s="1" t="s">
        <v>21</v>
      </c>
      <c r="H188" s="1" t="s">
        <v>333</v>
      </c>
      <c r="I188" s="1" t="s">
        <v>21</v>
      </c>
    </row>
    <row r="189" spans="1:9" ht="59" hidden="1" x14ac:dyDescent="0.75">
      <c r="A189" s="1" t="s">
        <v>334</v>
      </c>
      <c r="B189" s="1" t="s">
        <v>18</v>
      </c>
      <c r="C189" s="1" t="s">
        <v>29</v>
      </c>
      <c r="D189" s="1" t="s">
        <v>40</v>
      </c>
      <c r="E189" s="1" t="s">
        <v>21</v>
      </c>
      <c r="F189" s="1" t="s">
        <v>21</v>
      </c>
      <c r="G189" s="1" t="s">
        <v>21</v>
      </c>
      <c r="H189" s="1" t="s">
        <v>21</v>
      </c>
      <c r="I189" s="1" t="s">
        <v>21</v>
      </c>
    </row>
    <row r="190" spans="1:9" ht="59" hidden="1" x14ac:dyDescent="0.75">
      <c r="A190" s="1" t="s">
        <v>335</v>
      </c>
      <c r="B190" s="1" t="s">
        <v>23</v>
      </c>
      <c r="C190" s="1" t="s">
        <v>29</v>
      </c>
      <c r="D190" s="1" t="s">
        <v>30</v>
      </c>
      <c r="E190" s="1" t="s">
        <v>21</v>
      </c>
      <c r="F190" s="1" t="s">
        <v>21</v>
      </c>
      <c r="G190" s="1" t="s">
        <v>21</v>
      </c>
      <c r="H190" s="1" t="s">
        <v>21</v>
      </c>
      <c r="I190" s="1" t="s">
        <v>21</v>
      </c>
    </row>
    <row r="191" spans="1:9" ht="88.5" hidden="1" x14ac:dyDescent="0.75">
      <c r="A191" s="1" t="s">
        <v>336</v>
      </c>
      <c r="B191" s="1" t="s">
        <v>35</v>
      </c>
      <c r="C191" s="1" t="s">
        <v>32</v>
      </c>
      <c r="D191" s="1" t="s">
        <v>47</v>
      </c>
      <c r="E191" s="1" t="s">
        <v>21</v>
      </c>
      <c r="F191" s="1" t="s">
        <v>21</v>
      </c>
      <c r="G191" s="1" t="s">
        <v>21</v>
      </c>
      <c r="H191" s="1" t="s">
        <v>337</v>
      </c>
      <c r="I191" s="1" t="s">
        <v>21</v>
      </c>
    </row>
    <row r="192" spans="1:9" ht="59" hidden="1" x14ac:dyDescent="0.75">
      <c r="A192" s="1" t="s">
        <v>338</v>
      </c>
      <c r="B192" s="1" t="s">
        <v>35</v>
      </c>
      <c r="C192" s="1" t="s">
        <v>29</v>
      </c>
      <c r="D192" s="1" t="s">
        <v>40</v>
      </c>
      <c r="E192" s="1" t="s">
        <v>21</v>
      </c>
      <c r="F192" s="1" t="s">
        <v>21</v>
      </c>
      <c r="G192" s="1" t="s">
        <v>21</v>
      </c>
      <c r="H192" s="1" t="s">
        <v>21</v>
      </c>
      <c r="I192" s="1" t="s">
        <v>21</v>
      </c>
    </row>
    <row r="193" spans="1:9" ht="59" hidden="1" x14ac:dyDescent="0.75">
      <c r="A193" s="1" t="s">
        <v>339</v>
      </c>
      <c r="B193" s="1" t="s">
        <v>35</v>
      </c>
      <c r="C193" s="1" t="s">
        <v>19</v>
      </c>
      <c r="D193" s="1" t="s">
        <v>61</v>
      </c>
      <c r="E193" s="1" t="s">
        <v>340</v>
      </c>
      <c r="F193" s="1" t="s">
        <v>21</v>
      </c>
      <c r="G193" s="1" t="s">
        <v>21</v>
      </c>
      <c r="H193" s="1" t="s">
        <v>21</v>
      </c>
      <c r="I193" s="1" t="s">
        <v>21</v>
      </c>
    </row>
    <row r="194" spans="1:9" ht="59" hidden="1" x14ac:dyDescent="0.75">
      <c r="A194" s="1" t="s">
        <v>341</v>
      </c>
      <c r="B194" s="1" t="s">
        <v>97</v>
      </c>
      <c r="C194" s="1" t="s">
        <v>342</v>
      </c>
      <c r="D194" s="1" t="s">
        <v>63</v>
      </c>
      <c r="E194" s="1" t="s">
        <v>21</v>
      </c>
      <c r="F194" s="1" t="s">
        <v>21</v>
      </c>
      <c r="G194" s="1" t="s">
        <v>21</v>
      </c>
      <c r="H194" s="1" t="s">
        <v>21</v>
      </c>
      <c r="I194" s="1" t="s">
        <v>21</v>
      </c>
    </row>
    <row r="195" spans="1:9" ht="88.5" x14ac:dyDescent="0.75">
      <c r="A195" s="1" t="s">
        <v>343</v>
      </c>
      <c r="B195" s="1" t="s">
        <v>18</v>
      </c>
      <c r="C195" s="1" t="s">
        <v>36</v>
      </c>
      <c r="D195" s="1" t="s">
        <v>40</v>
      </c>
      <c r="E195" s="1" t="s">
        <v>21</v>
      </c>
      <c r="F195" s="1" t="s">
        <v>21</v>
      </c>
      <c r="G195" s="1" t="s">
        <v>21</v>
      </c>
      <c r="H195" s="1" t="s">
        <v>21</v>
      </c>
      <c r="I195" s="1" t="s">
        <v>344</v>
      </c>
    </row>
    <row r="196" spans="1:9" ht="59" hidden="1" x14ac:dyDescent="0.75">
      <c r="A196" s="1" t="s">
        <v>345</v>
      </c>
      <c r="B196" s="1" t="s">
        <v>23</v>
      </c>
      <c r="C196" s="1" t="s">
        <v>29</v>
      </c>
      <c r="D196" s="1" t="s">
        <v>61</v>
      </c>
      <c r="E196" s="1" t="s">
        <v>21</v>
      </c>
      <c r="F196" s="1" t="s">
        <v>21</v>
      </c>
      <c r="G196" s="1" t="s">
        <v>21</v>
      </c>
      <c r="H196" s="1" t="s">
        <v>21</v>
      </c>
      <c r="I196" s="1" t="s">
        <v>21</v>
      </c>
    </row>
    <row r="197" spans="1:9" ht="59" hidden="1" x14ac:dyDescent="0.75">
      <c r="A197" s="1" t="s">
        <v>346</v>
      </c>
      <c r="B197" s="1" t="s">
        <v>18</v>
      </c>
      <c r="C197" s="1" t="s">
        <v>29</v>
      </c>
      <c r="D197" s="1" t="s">
        <v>25</v>
      </c>
      <c r="E197" s="1" t="s">
        <v>21</v>
      </c>
      <c r="F197" s="1" t="s">
        <v>21</v>
      </c>
      <c r="G197" s="1" t="s">
        <v>21</v>
      </c>
      <c r="H197" s="1" t="s">
        <v>21</v>
      </c>
      <c r="I197" s="1" t="s">
        <v>21</v>
      </c>
    </row>
    <row r="198" spans="1:9" ht="59" hidden="1" x14ac:dyDescent="0.75">
      <c r="A198" s="1" t="s">
        <v>347</v>
      </c>
      <c r="B198" s="1" t="s">
        <v>28</v>
      </c>
      <c r="C198" s="1" t="s">
        <v>24</v>
      </c>
      <c r="D198" s="1" t="s">
        <v>81</v>
      </c>
      <c r="E198" s="1" t="s">
        <v>21</v>
      </c>
      <c r="F198" s="1" t="s">
        <v>21</v>
      </c>
      <c r="G198" s="1" t="s">
        <v>21</v>
      </c>
      <c r="H198" s="1" t="s">
        <v>21</v>
      </c>
      <c r="I198" s="1" t="s">
        <v>21</v>
      </c>
    </row>
    <row r="199" spans="1:9" ht="59" x14ac:dyDescent="0.75">
      <c r="A199" s="1" t="s">
        <v>348</v>
      </c>
      <c r="B199" s="1" t="s">
        <v>28</v>
      </c>
      <c r="C199" s="1" t="s">
        <v>19</v>
      </c>
      <c r="D199" s="1" t="s">
        <v>25</v>
      </c>
      <c r="E199" s="1" t="s">
        <v>21</v>
      </c>
      <c r="F199" s="1" t="s">
        <v>21</v>
      </c>
      <c r="G199" s="1" t="s">
        <v>21</v>
      </c>
      <c r="H199" s="1" t="s">
        <v>21</v>
      </c>
      <c r="I199" s="1" t="s">
        <v>349</v>
      </c>
    </row>
    <row r="200" spans="1:9" ht="59" hidden="1" x14ac:dyDescent="0.75">
      <c r="A200" s="1" t="s">
        <v>350</v>
      </c>
      <c r="B200" s="1" t="s">
        <v>18</v>
      </c>
      <c r="C200" s="1" t="s">
        <v>316</v>
      </c>
      <c r="D200" s="1" t="s">
        <v>63</v>
      </c>
      <c r="E200" s="1" t="s">
        <v>21</v>
      </c>
      <c r="F200" s="1" t="s">
        <v>21</v>
      </c>
      <c r="G200" s="1" t="s">
        <v>21</v>
      </c>
      <c r="H200" s="1" t="s">
        <v>21</v>
      </c>
      <c r="I200" s="1" t="s">
        <v>21</v>
      </c>
    </row>
    <row r="201" spans="1:9" ht="59" hidden="1" x14ac:dyDescent="0.75">
      <c r="A201" s="1" t="s">
        <v>351</v>
      </c>
      <c r="B201" s="1" t="s">
        <v>97</v>
      </c>
      <c r="C201" s="1" t="s">
        <v>45</v>
      </c>
      <c r="D201" s="1" t="s">
        <v>81</v>
      </c>
      <c r="E201" s="1" t="s">
        <v>21</v>
      </c>
      <c r="F201" s="1" t="s">
        <v>21</v>
      </c>
      <c r="G201" s="1" t="s">
        <v>21</v>
      </c>
      <c r="H201" s="1" t="s">
        <v>21</v>
      </c>
      <c r="I201" s="1" t="s">
        <v>21</v>
      </c>
    </row>
    <row r="202" spans="1:9" ht="103.25" hidden="1" x14ac:dyDescent="0.75">
      <c r="A202" s="1" t="s">
        <v>352</v>
      </c>
      <c r="B202" s="1" t="s">
        <v>18</v>
      </c>
      <c r="C202" s="1" t="s">
        <v>32</v>
      </c>
      <c r="D202" s="1" t="s">
        <v>33</v>
      </c>
      <c r="E202" s="1" t="s">
        <v>21</v>
      </c>
      <c r="F202" s="1" t="s">
        <v>21</v>
      </c>
      <c r="G202" s="1" t="s">
        <v>21</v>
      </c>
      <c r="H202" s="1" t="s">
        <v>21</v>
      </c>
      <c r="I202" s="1" t="s">
        <v>21</v>
      </c>
    </row>
    <row r="203" spans="1:9" ht="59" x14ac:dyDescent="0.75">
      <c r="A203" s="1" t="s">
        <v>353</v>
      </c>
      <c r="B203" s="1" t="s">
        <v>103</v>
      </c>
      <c r="C203" s="1" t="s">
        <v>29</v>
      </c>
      <c r="D203" s="1" t="s">
        <v>136</v>
      </c>
      <c r="E203" s="1" t="s">
        <v>21</v>
      </c>
      <c r="F203" s="1" t="s">
        <v>21</v>
      </c>
      <c r="G203" s="1" t="s">
        <v>21</v>
      </c>
      <c r="H203" s="1" t="s">
        <v>21</v>
      </c>
      <c r="I203" s="1" t="s">
        <v>354</v>
      </c>
    </row>
    <row r="204" spans="1:9" ht="88.5" hidden="1" x14ac:dyDescent="0.75">
      <c r="A204" s="1" t="s">
        <v>355</v>
      </c>
      <c r="B204" s="1" t="s">
        <v>103</v>
      </c>
      <c r="C204" s="1" t="s">
        <v>36</v>
      </c>
      <c r="D204" s="1" t="s">
        <v>136</v>
      </c>
      <c r="E204" s="1" t="s">
        <v>21</v>
      </c>
      <c r="F204" s="1" t="s">
        <v>21</v>
      </c>
      <c r="G204" s="1" t="s">
        <v>356</v>
      </c>
      <c r="H204" s="1" t="s">
        <v>21</v>
      </c>
      <c r="I204" s="1" t="s">
        <v>21</v>
      </c>
    </row>
    <row r="205" spans="1:9" ht="73.75" hidden="1" x14ac:dyDescent="0.75">
      <c r="A205" s="1" t="s">
        <v>357</v>
      </c>
      <c r="B205" s="1" t="s">
        <v>28</v>
      </c>
      <c r="C205" s="1" t="s">
        <v>29</v>
      </c>
      <c r="D205" s="1" t="s">
        <v>66</v>
      </c>
      <c r="E205" s="1" t="s">
        <v>358</v>
      </c>
      <c r="F205" s="1" t="s">
        <v>21</v>
      </c>
      <c r="G205" s="1" t="s">
        <v>21</v>
      </c>
      <c r="H205" s="1" t="s">
        <v>21</v>
      </c>
      <c r="I205" s="1" t="s">
        <v>21</v>
      </c>
    </row>
    <row r="206" spans="1:9" ht="59" hidden="1" x14ac:dyDescent="0.75">
      <c r="A206" s="1" t="s">
        <v>359</v>
      </c>
      <c r="B206" s="1" t="s">
        <v>23</v>
      </c>
      <c r="C206" s="1" t="s">
        <v>29</v>
      </c>
      <c r="D206" s="1" t="s">
        <v>81</v>
      </c>
      <c r="E206" s="1" t="s">
        <v>21</v>
      </c>
      <c r="F206" s="1" t="s">
        <v>21</v>
      </c>
      <c r="G206" s="1" t="s">
        <v>21</v>
      </c>
      <c r="H206" s="1" t="s">
        <v>21</v>
      </c>
      <c r="I206" s="1" t="s">
        <v>21</v>
      </c>
    </row>
    <row r="207" spans="1:9" ht="59" hidden="1" x14ac:dyDescent="0.75">
      <c r="A207" s="1" t="s">
        <v>360</v>
      </c>
      <c r="B207" s="1" t="s">
        <v>28</v>
      </c>
      <c r="C207" s="1" t="s">
        <v>29</v>
      </c>
      <c r="D207" s="1" t="s">
        <v>63</v>
      </c>
      <c r="E207" s="1" t="s">
        <v>21</v>
      </c>
      <c r="F207" s="1" t="s">
        <v>21</v>
      </c>
      <c r="G207" s="1" t="s">
        <v>21</v>
      </c>
      <c r="H207" s="1" t="s">
        <v>21</v>
      </c>
      <c r="I207" s="1" t="s">
        <v>21</v>
      </c>
    </row>
    <row r="208" spans="1:9" ht="88.5" hidden="1" x14ac:dyDescent="0.75">
      <c r="A208" s="1" t="s">
        <v>361</v>
      </c>
      <c r="B208" s="1" t="s">
        <v>23</v>
      </c>
      <c r="C208" s="1" t="s">
        <v>32</v>
      </c>
      <c r="D208" s="1" t="s">
        <v>61</v>
      </c>
      <c r="E208" s="1" t="s">
        <v>21</v>
      </c>
      <c r="F208" s="1" t="s">
        <v>21</v>
      </c>
      <c r="G208" s="1" t="s">
        <v>21</v>
      </c>
      <c r="H208" s="1" t="s">
        <v>362</v>
      </c>
      <c r="I208" s="1" t="s">
        <v>21</v>
      </c>
    </row>
    <row r="209" spans="1:9" ht="59" x14ac:dyDescent="0.75">
      <c r="A209" s="1" t="s">
        <v>363</v>
      </c>
      <c r="B209" s="1" t="s">
        <v>18</v>
      </c>
      <c r="C209" s="1" t="s">
        <v>19</v>
      </c>
      <c r="D209" s="1" t="s">
        <v>81</v>
      </c>
      <c r="E209" s="1" t="s">
        <v>21</v>
      </c>
      <c r="F209" s="1" t="s">
        <v>21</v>
      </c>
      <c r="G209" s="1" t="s">
        <v>21</v>
      </c>
      <c r="H209" s="1" t="s">
        <v>21</v>
      </c>
      <c r="I209" s="1" t="s">
        <v>364</v>
      </c>
    </row>
    <row r="210" spans="1:9" ht="103.25" hidden="1" x14ac:dyDescent="0.75">
      <c r="A210" s="1" t="s">
        <v>365</v>
      </c>
      <c r="B210" s="1" t="s">
        <v>103</v>
      </c>
      <c r="C210" s="1" t="s">
        <v>29</v>
      </c>
      <c r="D210" s="1" t="s">
        <v>33</v>
      </c>
      <c r="E210" s="1" t="s">
        <v>21</v>
      </c>
      <c r="F210" s="1" t="s">
        <v>366</v>
      </c>
      <c r="G210" s="1" t="s">
        <v>21</v>
      </c>
      <c r="H210" s="1" t="s">
        <v>21</v>
      </c>
      <c r="I210" s="1" t="s">
        <v>21</v>
      </c>
    </row>
    <row r="211" spans="1:9" ht="59" hidden="1" x14ac:dyDescent="0.75">
      <c r="A211" s="1" t="s">
        <v>367</v>
      </c>
      <c r="B211" s="1" t="s">
        <v>23</v>
      </c>
      <c r="C211" s="1" t="s">
        <v>24</v>
      </c>
      <c r="D211" s="1" t="s">
        <v>115</v>
      </c>
      <c r="E211" s="1" t="s">
        <v>21</v>
      </c>
      <c r="F211" s="1" t="s">
        <v>21</v>
      </c>
      <c r="G211" s="1" t="s">
        <v>368</v>
      </c>
      <c r="H211" s="1" t="s">
        <v>21</v>
      </c>
      <c r="I211" s="1" t="s">
        <v>21</v>
      </c>
    </row>
    <row r="212" spans="1:9" ht="59" hidden="1" x14ac:dyDescent="0.75">
      <c r="A212" s="1" t="s">
        <v>369</v>
      </c>
      <c r="B212" s="1" t="s">
        <v>28</v>
      </c>
      <c r="C212" s="1" t="s">
        <v>24</v>
      </c>
      <c r="D212" s="1" t="s">
        <v>38</v>
      </c>
      <c r="E212" s="1" t="s">
        <v>370</v>
      </c>
      <c r="F212" s="1" t="s">
        <v>21</v>
      </c>
      <c r="G212" s="1" t="s">
        <v>21</v>
      </c>
      <c r="H212" s="1" t="s">
        <v>21</v>
      </c>
      <c r="I212" s="1" t="s">
        <v>21</v>
      </c>
    </row>
    <row r="213" spans="1:9" ht="59" hidden="1" x14ac:dyDescent="0.75">
      <c r="A213" s="1" t="s">
        <v>371</v>
      </c>
      <c r="B213" s="1" t="s">
        <v>35</v>
      </c>
      <c r="C213" s="1" t="s">
        <v>29</v>
      </c>
      <c r="D213" s="1" t="s">
        <v>98</v>
      </c>
      <c r="E213" s="1" t="s">
        <v>21</v>
      </c>
      <c r="F213" s="1" t="s">
        <v>21</v>
      </c>
      <c r="G213" s="1" t="s">
        <v>372</v>
      </c>
      <c r="H213" s="1" t="s">
        <v>21</v>
      </c>
      <c r="I213" s="1" t="s">
        <v>21</v>
      </c>
    </row>
    <row r="214" spans="1:9" ht="59" x14ac:dyDescent="0.75">
      <c r="A214" s="1" t="s">
        <v>373</v>
      </c>
      <c r="B214" s="1" t="s">
        <v>103</v>
      </c>
      <c r="C214" s="1" t="s">
        <v>45</v>
      </c>
      <c r="D214" s="1" t="s">
        <v>38</v>
      </c>
      <c r="E214" s="1" t="s">
        <v>21</v>
      </c>
      <c r="F214" s="1" t="s">
        <v>21</v>
      </c>
      <c r="G214" s="1" t="s">
        <v>21</v>
      </c>
      <c r="H214" s="1" t="s">
        <v>21</v>
      </c>
      <c r="I214" s="1" t="s">
        <v>374</v>
      </c>
    </row>
    <row r="215" spans="1:9" ht="59" hidden="1" x14ac:dyDescent="0.75">
      <c r="A215" s="1" t="s">
        <v>375</v>
      </c>
      <c r="B215" s="1" t="s">
        <v>28</v>
      </c>
      <c r="C215" s="1" t="s">
        <v>29</v>
      </c>
      <c r="D215" s="1" t="s">
        <v>25</v>
      </c>
      <c r="E215" s="1" t="s">
        <v>21</v>
      </c>
      <c r="F215" s="1" t="s">
        <v>21</v>
      </c>
      <c r="G215" s="1" t="s">
        <v>21</v>
      </c>
      <c r="H215" s="1" t="s">
        <v>376</v>
      </c>
      <c r="I215" s="1" t="s">
        <v>21</v>
      </c>
    </row>
    <row r="216" spans="1:9" ht="59" hidden="1" x14ac:dyDescent="0.75">
      <c r="A216" s="1" t="s">
        <v>377</v>
      </c>
      <c r="B216" s="1" t="s">
        <v>28</v>
      </c>
      <c r="C216" s="1" t="s">
        <v>29</v>
      </c>
      <c r="D216" s="1" t="s">
        <v>98</v>
      </c>
      <c r="E216" s="1" t="s">
        <v>21</v>
      </c>
      <c r="F216" s="1" t="s">
        <v>21</v>
      </c>
      <c r="G216" s="1" t="s">
        <v>21</v>
      </c>
      <c r="H216" s="1" t="s">
        <v>21</v>
      </c>
      <c r="I216" s="1" t="s">
        <v>21</v>
      </c>
    </row>
    <row r="217" spans="1:9" ht="88.5" hidden="1" x14ac:dyDescent="0.75">
      <c r="A217" s="1" t="s">
        <v>378</v>
      </c>
      <c r="B217" s="1" t="s">
        <v>28</v>
      </c>
      <c r="C217" s="1" t="s">
        <v>32</v>
      </c>
      <c r="D217" s="1" t="s">
        <v>38</v>
      </c>
      <c r="E217" s="1" t="s">
        <v>21</v>
      </c>
      <c r="F217" s="1" t="s">
        <v>379</v>
      </c>
      <c r="G217" s="1" t="s">
        <v>21</v>
      </c>
      <c r="H217" s="1" t="s">
        <v>21</v>
      </c>
      <c r="I217" s="1" t="s">
        <v>21</v>
      </c>
    </row>
    <row r="218" spans="1:9" ht="103.25" hidden="1" x14ac:dyDescent="0.75">
      <c r="A218" s="1" t="s">
        <v>380</v>
      </c>
      <c r="B218" s="1" t="s">
        <v>18</v>
      </c>
      <c r="C218" s="1" t="s">
        <v>29</v>
      </c>
      <c r="D218" s="1" t="s">
        <v>33</v>
      </c>
      <c r="E218" s="1" t="s">
        <v>21</v>
      </c>
      <c r="F218" s="1" t="s">
        <v>21</v>
      </c>
      <c r="G218" s="1" t="s">
        <v>21</v>
      </c>
      <c r="H218" s="1" t="s">
        <v>21</v>
      </c>
      <c r="I218" s="1" t="s">
        <v>21</v>
      </c>
    </row>
    <row r="219" spans="1:9" ht="59" hidden="1" x14ac:dyDescent="0.75">
      <c r="A219" s="1" t="s">
        <v>381</v>
      </c>
      <c r="B219" s="1" t="s">
        <v>134</v>
      </c>
      <c r="C219" s="1" t="s">
        <v>45</v>
      </c>
      <c r="D219" s="1" t="s">
        <v>47</v>
      </c>
      <c r="E219" s="1" t="s">
        <v>21</v>
      </c>
      <c r="F219" s="1" t="s">
        <v>21</v>
      </c>
      <c r="G219" s="1" t="s">
        <v>21</v>
      </c>
      <c r="H219" s="1" t="s">
        <v>21</v>
      </c>
      <c r="I219" s="1" t="s">
        <v>21</v>
      </c>
    </row>
    <row r="220" spans="1:9" ht="88.5" hidden="1" x14ac:dyDescent="0.75">
      <c r="A220" s="1" t="s">
        <v>382</v>
      </c>
      <c r="B220" s="1" t="s">
        <v>35</v>
      </c>
      <c r="C220" s="1" t="s">
        <v>32</v>
      </c>
      <c r="D220" s="1" t="s">
        <v>66</v>
      </c>
      <c r="E220" s="1" t="s">
        <v>21</v>
      </c>
      <c r="F220" s="1" t="s">
        <v>21</v>
      </c>
      <c r="G220" s="1" t="s">
        <v>383</v>
      </c>
      <c r="H220" s="1" t="s">
        <v>21</v>
      </c>
      <c r="I220" s="1" t="s">
        <v>21</v>
      </c>
    </row>
    <row r="221" spans="1:9" ht="59" hidden="1" x14ac:dyDescent="0.75">
      <c r="A221" s="1" t="s">
        <v>384</v>
      </c>
      <c r="B221" s="1" t="s">
        <v>28</v>
      </c>
      <c r="C221" s="1" t="s">
        <v>45</v>
      </c>
      <c r="D221" s="1" t="s">
        <v>51</v>
      </c>
      <c r="E221" s="1" t="s">
        <v>21</v>
      </c>
      <c r="F221" s="1" t="s">
        <v>21</v>
      </c>
      <c r="G221" s="1" t="s">
        <v>385</v>
      </c>
      <c r="H221" s="1" t="s">
        <v>21</v>
      </c>
      <c r="I221" s="1" t="s">
        <v>21</v>
      </c>
    </row>
    <row r="222" spans="1:9" ht="73.75" hidden="1" x14ac:dyDescent="0.75">
      <c r="A222" s="1" t="s">
        <v>386</v>
      </c>
      <c r="B222" s="1" t="s">
        <v>18</v>
      </c>
      <c r="C222" s="1" t="s">
        <v>29</v>
      </c>
      <c r="D222" s="1" t="s">
        <v>57</v>
      </c>
      <c r="E222" s="1" t="s">
        <v>21</v>
      </c>
      <c r="F222" s="1" t="s">
        <v>21</v>
      </c>
      <c r="G222" s="1" t="s">
        <v>21</v>
      </c>
      <c r="H222" s="1" t="s">
        <v>387</v>
      </c>
      <c r="I222" s="1" t="s">
        <v>21</v>
      </c>
    </row>
    <row r="223" spans="1:9" ht="59" hidden="1" x14ac:dyDescent="0.75">
      <c r="A223" s="1" t="s">
        <v>388</v>
      </c>
      <c r="B223" s="1" t="s">
        <v>35</v>
      </c>
      <c r="C223" s="1" t="s">
        <v>24</v>
      </c>
      <c r="D223" s="1" t="s">
        <v>25</v>
      </c>
      <c r="E223" s="1" t="s">
        <v>21</v>
      </c>
      <c r="F223" s="1" t="s">
        <v>389</v>
      </c>
      <c r="G223" s="1" t="s">
        <v>21</v>
      </c>
      <c r="H223" s="1" t="s">
        <v>21</v>
      </c>
      <c r="I223" s="1" t="s">
        <v>21</v>
      </c>
    </row>
    <row r="224" spans="1:9" ht="88.5" hidden="1" x14ac:dyDescent="0.75">
      <c r="A224" s="1" t="s">
        <v>390</v>
      </c>
      <c r="B224" s="1" t="s">
        <v>18</v>
      </c>
      <c r="C224" s="1" t="s">
        <v>32</v>
      </c>
      <c r="D224" s="1" t="s">
        <v>51</v>
      </c>
      <c r="E224" s="1" t="s">
        <v>21</v>
      </c>
      <c r="F224" s="1" t="s">
        <v>21</v>
      </c>
      <c r="G224" s="1" t="s">
        <v>21</v>
      </c>
      <c r="H224" s="1" t="s">
        <v>21</v>
      </c>
      <c r="I224" s="1" t="s">
        <v>21</v>
      </c>
    </row>
    <row r="225" spans="1:9" ht="103.25" hidden="1" x14ac:dyDescent="0.75">
      <c r="A225" s="1" t="s">
        <v>391</v>
      </c>
      <c r="B225" s="1" t="s">
        <v>28</v>
      </c>
      <c r="C225" s="1" t="s">
        <v>32</v>
      </c>
      <c r="D225" s="1" t="s">
        <v>33</v>
      </c>
      <c r="E225" s="1" t="s">
        <v>21</v>
      </c>
      <c r="F225" s="1" t="s">
        <v>21</v>
      </c>
      <c r="G225" s="1" t="s">
        <v>21</v>
      </c>
      <c r="H225" s="1" t="s">
        <v>21</v>
      </c>
      <c r="I225" s="1" t="s">
        <v>21</v>
      </c>
    </row>
    <row r="226" spans="1:9" ht="88.5" x14ac:dyDescent="0.75">
      <c r="A226" s="1" t="s">
        <v>392</v>
      </c>
      <c r="B226" s="1" t="s">
        <v>103</v>
      </c>
      <c r="C226" s="1" t="s">
        <v>36</v>
      </c>
      <c r="D226" s="1" t="s">
        <v>51</v>
      </c>
      <c r="E226" s="1" t="s">
        <v>21</v>
      </c>
      <c r="F226" s="1" t="s">
        <v>21</v>
      </c>
      <c r="G226" s="1" t="s">
        <v>21</v>
      </c>
      <c r="H226" s="1" t="s">
        <v>21</v>
      </c>
      <c r="I226" s="1" t="s">
        <v>393</v>
      </c>
    </row>
    <row r="227" spans="1:9" ht="59" hidden="1" x14ac:dyDescent="0.75">
      <c r="A227" s="1" t="s">
        <v>394</v>
      </c>
      <c r="B227" s="1" t="s">
        <v>23</v>
      </c>
      <c r="C227" s="1" t="s">
        <v>24</v>
      </c>
      <c r="D227" s="1" t="s">
        <v>235</v>
      </c>
      <c r="E227" s="1" t="s">
        <v>21</v>
      </c>
      <c r="F227" s="1" t="s">
        <v>21</v>
      </c>
      <c r="G227" s="1" t="s">
        <v>21</v>
      </c>
      <c r="H227" s="1" t="s">
        <v>21</v>
      </c>
      <c r="I227" s="1" t="s">
        <v>21</v>
      </c>
    </row>
    <row r="228" spans="1:9" ht="59" hidden="1" x14ac:dyDescent="0.75">
      <c r="A228" s="1" t="s">
        <v>395</v>
      </c>
      <c r="B228" s="1" t="s">
        <v>28</v>
      </c>
      <c r="C228" s="1" t="s">
        <v>45</v>
      </c>
      <c r="D228" s="1" t="s">
        <v>51</v>
      </c>
      <c r="E228" s="1" t="s">
        <v>21</v>
      </c>
      <c r="F228" s="1" t="s">
        <v>21</v>
      </c>
      <c r="G228" s="1" t="s">
        <v>21</v>
      </c>
      <c r="H228" s="1" t="s">
        <v>21</v>
      </c>
      <c r="I228" s="1" t="s">
        <v>21</v>
      </c>
    </row>
    <row r="229" spans="1:9" ht="88.5" hidden="1" x14ac:dyDescent="0.75">
      <c r="A229" s="1" t="s">
        <v>396</v>
      </c>
      <c r="B229" s="1" t="s">
        <v>23</v>
      </c>
      <c r="C229" s="1" t="s">
        <v>32</v>
      </c>
      <c r="D229" s="1" t="s">
        <v>20</v>
      </c>
      <c r="E229" s="1" t="s">
        <v>397</v>
      </c>
      <c r="F229" s="1" t="s">
        <v>21</v>
      </c>
      <c r="G229" s="1" t="s">
        <v>21</v>
      </c>
      <c r="H229" s="1" t="s">
        <v>21</v>
      </c>
      <c r="I229" s="1" t="s">
        <v>21</v>
      </c>
    </row>
    <row r="230" spans="1:9" ht="59" hidden="1" x14ac:dyDescent="0.75">
      <c r="A230" s="1" t="s">
        <v>398</v>
      </c>
      <c r="B230" s="1" t="s">
        <v>28</v>
      </c>
      <c r="C230" s="1" t="s">
        <v>29</v>
      </c>
      <c r="D230" s="1" t="s">
        <v>40</v>
      </c>
      <c r="E230" s="1" t="s">
        <v>21</v>
      </c>
      <c r="F230" s="1" t="s">
        <v>21</v>
      </c>
      <c r="G230" s="1" t="s">
        <v>21</v>
      </c>
      <c r="H230" s="1" t="s">
        <v>21</v>
      </c>
      <c r="I230" s="1" t="s">
        <v>21</v>
      </c>
    </row>
    <row r="231" spans="1:9" ht="88.5" hidden="1" x14ac:dyDescent="0.75">
      <c r="A231" s="1" t="s">
        <v>399</v>
      </c>
      <c r="B231" s="1" t="s">
        <v>28</v>
      </c>
      <c r="C231" s="1" t="s">
        <v>32</v>
      </c>
      <c r="D231" s="1" t="s">
        <v>235</v>
      </c>
      <c r="E231" s="1" t="s">
        <v>21</v>
      </c>
      <c r="F231" s="1" t="s">
        <v>21</v>
      </c>
      <c r="G231" s="1" t="s">
        <v>21</v>
      </c>
      <c r="H231" s="1" t="s">
        <v>21</v>
      </c>
      <c r="I231" s="1" t="s">
        <v>21</v>
      </c>
    </row>
    <row r="232" spans="1:9" ht="59" hidden="1" x14ac:dyDescent="0.75">
      <c r="A232" s="1" t="s">
        <v>400</v>
      </c>
      <c r="B232" s="1" t="s">
        <v>28</v>
      </c>
      <c r="C232" s="1" t="s">
        <v>29</v>
      </c>
      <c r="D232" s="1" t="s">
        <v>38</v>
      </c>
      <c r="E232" s="1" t="s">
        <v>21</v>
      </c>
      <c r="F232" s="1" t="s">
        <v>21</v>
      </c>
      <c r="G232" s="1" t="s">
        <v>21</v>
      </c>
      <c r="H232" s="1" t="s">
        <v>21</v>
      </c>
      <c r="I232" s="1" t="s">
        <v>21</v>
      </c>
    </row>
    <row r="233" spans="1:9" ht="59" hidden="1" x14ac:dyDescent="0.75">
      <c r="A233" s="1" t="s">
        <v>401</v>
      </c>
      <c r="B233" s="1" t="s">
        <v>35</v>
      </c>
      <c r="C233" s="1" t="s">
        <v>24</v>
      </c>
      <c r="D233" s="1" t="s">
        <v>57</v>
      </c>
      <c r="E233" s="1" t="s">
        <v>21</v>
      </c>
      <c r="F233" s="1" t="s">
        <v>21</v>
      </c>
      <c r="G233" s="1" t="s">
        <v>21</v>
      </c>
      <c r="H233" s="1" t="s">
        <v>21</v>
      </c>
      <c r="I233" s="1" t="s">
        <v>21</v>
      </c>
    </row>
    <row r="234" spans="1:9" ht="59" x14ac:dyDescent="0.75">
      <c r="A234" s="1" t="s">
        <v>402</v>
      </c>
      <c r="B234" s="1" t="s">
        <v>28</v>
      </c>
      <c r="C234" s="1" t="s">
        <v>29</v>
      </c>
      <c r="D234" s="1" t="s">
        <v>61</v>
      </c>
      <c r="E234" s="1" t="s">
        <v>21</v>
      </c>
      <c r="F234" s="1" t="s">
        <v>21</v>
      </c>
      <c r="G234" s="1" t="s">
        <v>21</v>
      </c>
      <c r="H234" s="1" t="s">
        <v>21</v>
      </c>
      <c r="I234" s="1" t="s">
        <v>403</v>
      </c>
    </row>
    <row r="235" spans="1:9" ht="59" hidden="1" x14ac:dyDescent="0.75">
      <c r="A235" s="1" t="s">
        <v>404</v>
      </c>
      <c r="B235" s="1" t="s">
        <v>23</v>
      </c>
      <c r="C235" s="1" t="s">
        <v>29</v>
      </c>
      <c r="D235" s="1" t="s">
        <v>61</v>
      </c>
      <c r="E235" s="1" t="s">
        <v>21</v>
      </c>
      <c r="F235" s="1" t="s">
        <v>405</v>
      </c>
      <c r="G235" s="1" t="s">
        <v>21</v>
      </c>
      <c r="H235" s="1" t="s">
        <v>21</v>
      </c>
      <c r="I235" s="1" t="s">
        <v>21</v>
      </c>
    </row>
    <row r="236" spans="1:9" ht="59" hidden="1" x14ac:dyDescent="0.75">
      <c r="A236" s="1" t="s">
        <v>406</v>
      </c>
      <c r="B236" s="1" t="s">
        <v>103</v>
      </c>
      <c r="C236" s="1" t="s">
        <v>45</v>
      </c>
      <c r="D236" s="1" t="s">
        <v>136</v>
      </c>
      <c r="E236" s="1" t="s">
        <v>21</v>
      </c>
      <c r="F236" s="1" t="s">
        <v>21</v>
      </c>
      <c r="G236" s="1" t="s">
        <v>21</v>
      </c>
      <c r="H236" s="1" t="s">
        <v>407</v>
      </c>
      <c r="I236" s="1" t="s">
        <v>21</v>
      </c>
    </row>
    <row r="237" spans="1:9" ht="59" hidden="1" x14ac:dyDescent="0.75">
      <c r="A237" s="1" t="s">
        <v>408</v>
      </c>
      <c r="B237" s="1" t="s">
        <v>23</v>
      </c>
      <c r="C237" s="1" t="s">
        <v>29</v>
      </c>
      <c r="D237" s="1" t="s">
        <v>61</v>
      </c>
      <c r="E237" s="1" t="s">
        <v>21</v>
      </c>
      <c r="F237" s="1" t="s">
        <v>21</v>
      </c>
      <c r="G237" s="1" t="s">
        <v>21</v>
      </c>
      <c r="H237" s="1" t="s">
        <v>21</v>
      </c>
      <c r="I237" s="1" t="s">
        <v>21</v>
      </c>
    </row>
    <row r="238" spans="1:9" ht="88.5" hidden="1" x14ac:dyDescent="0.75">
      <c r="A238" s="1" t="s">
        <v>409</v>
      </c>
      <c r="B238" s="1" t="s">
        <v>97</v>
      </c>
      <c r="C238" s="1" t="s">
        <v>32</v>
      </c>
      <c r="D238" s="1" t="s">
        <v>47</v>
      </c>
      <c r="E238" s="1" t="s">
        <v>21</v>
      </c>
      <c r="F238" s="1" t="s">
        <v>410</v>
      </c>
      <c r="G238" s="1" t="s">
        <v>21</v>
      </c>
      <c r="H238" s="1" t="s">
        <v>21</v>
      </c>
      <c r="I238" s="1" t="s">
        <v>21</v>
      </c>
    </row>
    <row r="239" spans="1:9" ht="59" hidden="1" x14ac:dyDescent="0.75">
      <c r="A239" s="1" t="s">
        <v>411</v>
      </c>
      <c r="B239" s="1" t="s">
        <v>35</v>
      </c>
      <c r="C239" s="1" t="s">
        <v>29</v>
      </c>
      <c r="D239" s="1" t="s">
        <v>47</v>
      </c>
      <c r="E239" s="1" t="s">
        <v>21</v>
      </c>
      <c r="F239" s="1" t="s">
        <v>21</v>
      </c>
      <c r="G239" s="1" t="s">
        <v>21</v>
      </c>
      <c r="H239" s="1" t="s">
        <v>21</v>
      </c>
      <c r="I239" s="1" t="s">
        <v>21</v>
      </c>
    </row>
    <row r="240" spans="1:9" ht="59" hidden="1" x14ac:dyDescent="0.75">
      <c r="A240" s="1" t="s">
        <v>412</v>
      </c>
      <c r="B240" s="1" t="s">
        <v>23</v>
      </c>
      <c r="C240" s="1" t="s">
        <v>45</v>
      </c>
      <c r="D240" s="1" t="s">
        <v>115</v>
      </c>
      <c r="E240" s="1" t="s">
        <v>21</v>
      </c>
      <c r="F240" s="1" t="s">
        <v>21</v>
      </c>
      <c r="G240" s="1" t="s">
        <v>21</v>
      </c>
      <c r="H240" s="1" t="s">
        <v>21</v>
      </c>
      <c r="I240" s="1" t="s">
        <v>21</v>
      </c>
    </row>
    <row r="241" spans="1:9" ht="88.5" hidden="1" x14ac:dyDescent="0.75">
      <c r="A241" s="1" t="s">
        <v>413</v>
      </c>
      <c r="B241" s="1" t="s">
        <v>28</v>
      </c>
      <c r="C241" s="1" t="s">
        <v>32</v>
      </c>
      <c r="D241" s="1" t="s">
        <v>51</v>
      </c>
      <c r="E241" s="1" t="s">
        <v>21</v>
      </c>
      <c r="F241" s="1" t="s">
        <v>21</v>
      </c>
      <c r="G241" s="1" t="s">
        <v>21</v>
      </c>
      <c r="H241" s="1" t="s">
        <v>21</v>
      </c>
      <c r="I241" s="1" t="s">
        <v>21</v>
      </c>
    </row>
    <row r="242" spans="1:9" ht="88.5" hidden="1" x14ac:dyDescent="0.75">
      <c r="A242" s="1" t="s">
        <v>414</v>
      </c>
      <c r="B242" s="1" t="s">
        <v>18</v>
      </c>
      <c r="C242" s="1" t="s">
        <v>36</v>
      </c>
      <c r="D242" s="1" t="s">
        <v>38</v>
      </c>
      <c r="E242" s="1" t="s">
        <v>21</v>
      </c>
      <c r="F242" s="1" t="s">
        <v>21</v>
      </c>
      <c r="G242" s="1" t="s">
        <v>21</v>
      </c>
      <c r="H242" s="1" t="s">
        <v>21</v>
      </c>
      <c r="I242" s="1" t="s">
        <v>21</v>
      </c>
    </row>
    <row r="243" spans="1:9" ht="59" hidden="1" x14ac:dyDescent="0.75">
      <c r="A243" s="1" t="s">
        <v>415</v>
      </c>
      <c r="B243" s="1" t="s">
        <v>23</v>
      </c>
      <c r="C243" s="1" t="s">
        <v>29</v>
      </c>
      <c r="D243" s="1" t="s">
        <v>30</v>
      </c>
      <c r="E243" s="1" t="s">
        <v>21</v>
      </c>
      <c r="F243" s="1" t="s">
        <v>21</v>
      </c>
      <c r="G243" s="1" t="s">
        <v>21</v>
      </c>
      <c r="H243" s="1" t="s">
        <v>21</v>
      </c>
      <c r="I243" s="1" t="s">
        <v>21</v>
      </c>
    </row>
    <row r="244" spans="1:9" ht="59" hidden="1" x14ac:dyDescent="0.75">
      <c r="A244" s="1" t="s">
        <v>416</v>
      </c>
      <c r="B244" s="1" t="s">
        <v>28</v>
      </c>
      <c r="C244" s="1" t="s">
        <v>29</v>
      </c>
      <c r="D244" s="1" t="s">
        <v>38</v>
      </c>
      <c r="E244" s="1" t="s">
        <v>21</v>
      </c>
      <c r="F244" s="1" t="s">
        <v>21</v>
      </c>
      <c r="G244" s="1" t="s">
        <v>21</v>
      </c>
      <c r="H244" s="1" t="s">
        <v>21</v>
      </c>
      <c r="I244" s="1" t="s">
        <v>21</v>
      </c>
    </row>
    <row r="245" spans="1:9" ht="59" hidden="1" x14ac:dyDescent="0.75">
      <c r="A245" s="1" t="s">
        <v>417</v>
      </c>
      <c r="B245" s="1" t="s">
        <v>23</v>
      </c>
      <c r="C245" s="1" t="s">
        <v>24</v>
      </c>
      <c r="D245" s="1" t="s">
        <v>20</v>
      </c>
      <c r="E245" s="1" t="s">
        <v>21</v>
      </c>
      <c r="F245" s="1" t="s">
        <v>21</v>
      </c>
      <c r="G245" s="1" t="s">
        <v>21</v>
      </c>
      <c r="H245" s="1" t="s">
        <v>21</v>
      </c>
      <c r="I245" s="1" t="s">
        <v>21</v>
      </c>
    </row>
    <row r="246" spans="1:9" ht="59" hidden="1" x14ac:dyDescent="0.75">
      <c r="A246" s="1" t="s">
        <v>418</v>
      </c>
      <c r="B246" s="1" t="s">
        <v>18</v>
      </c>
      <c r="C246" s="1" t="s">
        <v>24</v>
      </c>
      <c r="D246" s="1" t="s">
        <v>30</v>
      </c>
      <c r="E246" s="1" t="s">
        <v>21</v>
      </c>
      <c r="F246" s="1" t="s">
        <v>21</v>
      </c>
      <c r="G246" s="1" t="s">
        <v>419</v>
      </c>
      <c r="H246" s="1" t="s">
        <v>21</v>
      </c>
      <c r="I246" s="1" t="s">
        <v>21</v>
      </c>
    </row>
    <row r="247" spans="1:9" ht="88.5" hidden="1" x14ac:dyDescent="0.75">
      <c r="A247" s="1" t="s">
        <v>420</v>
      </c>
      <c r="B247" s="1" t="s">
        <v>23</v>
      </c>
      <c r="C247" s="1" t="s">
        <v>32</v>
      </c>
      <c r="D247" s="1" t="s">
        <v>20</v>
      </c>
      <c r="E247" s="1" t="s">
        <v>21</v>
      </c>
      <c r="F247" s="1" t="s">
        <v>21</v>
      </c>
      <c r="G247" s="1" t="s">
        <v>21</v>
      </c>
      <c r="H247" s="1" t="s">
        <v>21</v>
      </c>
      <c r="I247" s="1" t="s">
        <v>21</v>
      </c>
    </row>
    <row r="248" spans="1:9" ht="59" hidden="1" x14ac:dyDescent="0.75">
      <c r="A248" s="1" t="s">
        <v>421</v>
      </c>
      <c r="B248" s="1" t="s">
        <v>28</v>
      </c>
      <c r="C248" s="1" t="s">
        <v>29</v>
      </c>
      <c r="D248" s="1" t="s">
        <v>98</v>
      </c>
      <c r="E248" s="1" t="s">
        <v>21</v>
      </c>
      <c r="F248" s="1" t="s">
        <v>21</v>
      </c>
      <c r="G248" s="1" t="s">
        <v>21</v>
      </c>
      <c r="H248" s="1" t="s">
        <v>21</v>
      </c>
      <c r="I248" s="1" t="s">
        <v>21</v>
      </c>
    </row>
    <row r="249" spans="1:9" ht="88.5" hidden="1" x14ac:dyDescent="0.75">
      <c r="A249" s="1" t="s">
        <v>422</v>
      </c>
      <c r="B249" s="1" t="s">
        <v>18</v>
      </c>
      <c r="C249" s="1" t="s">
        <v>36</v>
      </c>
      <c r="D249" s="1" t="s">
        <v>61</v>
      </c>
      <c r="E249" s="1" t="s">
        <v>21</v>
      </c>
      <c r="F249" s="1" t="s">
        <v>21</v>
      </c>
      <c r="G249" s="1" t="s">
        <v>21</v>
      </c>
      <c r="H249" s="1" t="s">
        <v>21</v>
      </c>
      <c r="I249" s="1" t="s">
        <v>21</v>
      </c>
    </row>
    <row r="250" spans="1:9" ht="147.5" hidden="1" x14ac:dyDescent="0.75">
      <c r="A250" s="1" t="s">
        <v>423</v>
      </c>
      <c r="B250" s="1" t="s">
        <v>28</v>
      </c>
      <c r="C250" s="1" t="s">
        <v>19</v>
      </c>
      <c r="D250" s="1" t="s">
        <v>33</v>
      </c>
      <c r="E250" s="1" t="s">
        <v>21</v>
      </c>
      <c r="F250" s="1" t="s">
        <v>21</v>
      </c>
      <c r="G250" s="1" t="s">
        <v>424</v>
      </c>
      <c r="H250" s="1" t="s">
        <v>21</v>
      </c>
      <c r="I250" s="1" t="s">
        <v>21</v>
      </c>
    </row>
    <row r="251" spans="1:9" ht="59" hidden="1" x14ac:dyDescent="0.75">
      <c r="A251" s="1" t="s">
        <v>425</v>
      </c>
      <c r="B251" s="1" t="s">
        <v>23</v>
      </c>
      <c r="C251" s="1" t="s">
        <v>29</v>
      </c>
      <c r="D251" s="1" t="s">
        <v>57</v>
      </c>
      <c r="E251" s="1" t="s">
        <v>21</v>
      </c>
      <c r="F251" s="1" t="s">
        <v>21</v>
      </c>
      <c r="G251" s="1" t="s">
        <v>21</v>
      </c>
      <c r="H251" s="1" t="s">
        <v>21</v>
      </c>
      <c r="I251" s="1" t="s">
        <v>21</v>
      </c>
    </row>
    <row r="252" spans="1:9" ht="88.5" hidden="1" x14ac:dyDescent="0.75">
      <c r="A252" s="1" t="s">
        <v>426</v>
      </c>
      <c r="B252" s="1" t="s">
        <v>18</v>
      </c>
      <c r="C252" s="1" t="s">
        <v>32</v>
      </c>
      <c r="D252" s="1" t="s">
        <v>63</v>
      </c>
      <c r="E252" s="1" t="s">
        <v>21</v>
      </c>
      <c r="F252" s="1" t="s">
        <v>21</v>
      </c>
      <c r="G252" s="1" t="s">
        <v>21</v>
      </c>
      <c r="H252" s="1" t="s">
        <v>21</v>
      </c>
      <c r="I252" s="1" t="s">
        <v>21</v>
      </c>
    </row>
    <row r="253" spans="1:9" ht="59" hidden="1" x14ac:dyDescent="0.75">
      <c r="A253" s="1" t="s">
        <v>427</v>
      </c>
      <c r="B253" s="1" t="s">
        <v>103</v>
      </c>
      <c r="C253" s="1" t="s">
        <v>29</v>
      </c>
      <c r="D253" s="1" t="s">
        <v>115</v>
      </c>
      <c r="E253" s="1" t="s">
        <v>21</v>
      </c>
      <c r="F253" s="1" t="s">
        <v>21</v>
      </c>
      <c r="G253" s="1" t="s">
        <v>21</v>
      </c>
      <c r="H253" s="1" t="s">
        <v>21</v>
      </c>
      <c r="I253" s="1" t="s">
        <v>21</v>
      </c>
    </row>
    <row r="254" spans="1:9" ht="88.5" hidden="1" x14ac:dyDescent="0.75">
      <c r="A254" s="1" t="s">
        <v>428</v>
      </c>
      <c r="B254" s="1" t="s">
        <v>134</v>
      </c>
      <c r="C254" s="1" t="s">
        <v>32</v>
      </c>
      <c r="D254" s="1" t="s">
        <v>47</v>
      </c>
      <c r="E254" s="1" t="s">
        <v>21</v>
      </c>
      <c r="F254" s="1" t="s">
        <v>21</v>
      </c>
      <c r="G254" s="1" t="s">
        <v>21</v>
      </c>
      <c r="H254" s="1" t="s">
        <v>429</v>
      </c>
      <c r="I254" s="1" t="s">
        <v>21</v>
      </c>
    </row>
    <row r="255" spans="1:9" ht="59" x14ac:dyDescent="0.75">
      <c r="A255" s="1" t="s">
        <v>430</v>
      </c>
      <c r="B255" s="1" t="s">
        <v>97</v>
      </c>
      <c r="C255" s="1" t="s">
        <v>24</v>
      </c>
      <c r="D255" s="1" t="s">
        <v>47</v>
      </c>
      <c r="E255" s="1" t="s">
        <v>21</v>
      </c>
      <c r="F255" s="1" t="s">
        <v>21</v>
      </c>
      <c r="G255" s="1" t="s">
        <v>21</v>
      </c>
      <c r="H255" s="1" t="s">
        <v>21</v>
      </c>
      <c r="I255" s="1" t="s">
        <v>431</v>
      </c>
    </row>
    <row r="256" spans="1:9" ht="59" hidden="1" x14ac:dyDescent="0.75">
      <c r="A256" s="1" t="s">
        <v>432</v>
      </c>
      <c r="B256" s="1" t="s">
        <v>35</v>
      </c>
      <c r="C256" s="1" t="s">
        <v>24</v>
      </c>
      <c r="D256" s="1" t="s">
        <v>51</v>
      </c>
      <c r="E256" s="1" t="s">
        <v>21</v>
      </c>
      <c r="F256" s="1" t="s">
        <v>21</v>
      </c>
      <c r="G256" s="1" t="s">
        <v>21</v>
      </c>
      <c r="H256" s="1" t="s">
        <v>433</v>
      </c>
      <c r="I256" s="1" t="s">
        <v>21</v>
      </c>
    </row>
    <row r="257" spans="1:9" ht="103.25" x14ac:dyDescent="0.75">
      <c r="A257" s="1" t="s">
        <v>434</v>
      </c>
      <c r="B257" s="1" t="s">
        <v>18</v>
      </c>
      <c r="C257" s="1" t="s">
        <v>29</v>
      </c>
      <c r="D257" s="1" t="s">
        <v>33</v>
      </c>
      <c r="E257" s="1" t="s">
        <v>21</v>
      </c>
      <c r="F257" s="1" t="s">
        <v>21</v>
      </c>
      <c r="G257" s="1" t="s">
        <v>21</v>
      </c>
      <c r="H257" s="1" t="s">
        <v>21</v>
      </c>
      <c r="I257" s="1" t="s">
        <v>435</v>
      </c>
    </row>
    <row r="258" spans="1:9" ht="59" hidden="1" x14ac:dyDescent="0.75">
      <c r="A258" s="1" t="s">
        <v>436</v>
      </c>
      <c r="B258" s="1" t="s">
        <v>18</v>
      </c>
      <c r="C258" s="1" t="s">
        <v>29</v>
      </c>
      <c r="D258" s="1" t="s">
        <v>47</v>
      </c>
      <c r="E258" s="1" t="s">
        <v>21</v>
      </c>
      <c r="F258" s="1" t="s">
        <v>21</v>
      </c>
      <c r="G258" s="1" t="s">
        <v>21</v>
      </c>
      <c r="H258" s="1" t="s">
        <v>21</v>
      </c>
      <c r="I258" s="1" t="s">
        <v>21</v>
      </c>
    </row>
    <row r="259" spans="1:9" ht="88.5" hidden="1" x14ac:dyDescent="0.75">
      <c r="A259" s="1" t="s">
        <v>449</v>
      </c>
      <c r="C259" s="1" t="s">
        <v>32</v>
      </c>
      <c r="D259" s="1" t="s">
        <v>47</v>
      </c>
      <c r="E259" s="1" t="s">
        <v>454</v>
      </c>
    </row>
    <row r="260" spans="1:9" ht="88.5" hidden="1" x14ac:dyDescent="0.75">
      <c r="A260" s="1" t="s">
        <v>450</v>
      </c>
      <c r="C260" s="1" t="s">
        <v>32</v>
      </c>
      <c r="D260" s="1" t="s">
        <v>235</v>
      </c>
      <c r="E260" s="1" t="s">
        <v>455</v>
      </c>
    </row>
    <row r="261" spans="1:9" ht="59" hidden="1" x14ac:dyDescent="0.75">
      <c r="A261" s="1" t="s">
        <v>451</v>
      </c>
      <c r="C261" s="1" t="s">
        <v>19</v>
      </c>
      <c r="D261" s="1" t="s">
        <v>30</v>
      </c>
      <c r="E261" s="1" t="s">
        <v>456</v>
      </c>
    </row>
    <row r="262" spans="1:9" ht="59" hidden="1" x14ac:dyDescent="0.75">
      <c r="A262" s="1" t="s">
        <v>452</v>
      </c>
      <c r="C262" s="1" t="s">
        <v>316</v>
      </c>
      <c r="D262" s="1" t="s">
        <v>188</v>
      </c>
      <c r="E262" s="1" t="s">
        <v>457</v>
      </c>
    </row>
    <row r="263" spans="1:9" ht="59" hidden="1" x14ac:dyDescent="0.75">
      <c r="A263" s="1" t="s">
        <v>453</v>
      </c>
      <c r="C263" s="1" t="s">
        <v>45</v>
      </c>
      <c r="D263" s="1" t="s">
        <v>51</v>
      </c>
      <c r="E263" s="1" t="s">
        <v>458</v>
      </c>
    </row>
    <row r="264" spans="1:9" ht="88.5" x14ac:dyDescent="0.75">
      <c r="A264" s="1" t="s">
        <v>460</v>
      </c>
      <c r="B264" s="1" t="s">
        <v>23</v>
      </c>
      <c r="C264" s="1" t="s">
        <v>32</v>
      </c>
      <c r="D264" s="1" t="s">
        <v>51</v>
      </c>
      <c r="I264" s="1" t="s">
        <v>459</v>
      </c>
    </row>
    <row r="265" spans="1:9" ht="103.25" hidden="1" x14ac:dyDescent="0.75">
      <c r="A265" s="1" t="s">
        <v>465</v>
      </c>
      <c r="B265" s="1" t="s">
        <v>23</v>
      </c>
      <c r="C265" s="1" t="s">
        <v>29</v>
      </c>
      <c r="D265" s="1" t="s">
        <v>33</v>
      </c>
      <c r="H265" s="9" t="s">
        <v>461</v>
      </c>
    </row>
    <row r="266" spans="1:9" ht="73.75" hidden="1" x14ac:dyDescent="0.75">
      <c r="A266" s="1" t="s">
        <v>466</v>
      </c>
      <c r="B266" s="1" t="s">
        <v>23</v>
      </c>
      <c r="C266" s="1" t="s">
        <v>29</v>
      </c>
      <c r="D266" s="1" t="s">
        <v>66</v>
      </c>
      <c r="H266" s="1" t="s">
        <v>462</v>
      </c>
    </row>
    <row r="267" spans="1:9" ht="88.5" hidden="1" x14ac:dyDescent="0.75">
      <c r="A267" s="1" t="s">
        <v>467</v>
      </c>
      <c r="B267" s="1" t="s">
        <v>23</v>
      </c>
      <c r="C267" s="1" t="s">
        <v>32</v>
      </c>
      <c r="D267" s="1" t="s">
        <v>51</v>
      </c>
      <c r="H267" s="1" t="s">
        <v>463</v>
      </c>
    </row>
    <row r="268" spans="1:9" ht="59" hidden="1" x14ac:dyDescent="0.75">
      <c r="A268" s="1" t="s">
        <v>468</v>
      </c>
      <c r="B268" s="1" t="s">
        <v>103</v>
      </c>
      <c r="C268" s="1" t="s">
        <v>342</v>
      </c>
      <c r="D268" s="1" t="s">
        <v>54</v>
      </c>
      <c r="H268" s="1" t="s">
        <v>464</v>
      </c>
    </row>
    <row r="269" spans="1:9" ht="59" hidden="1" x14ac:dyDescent="0.75">
      <c r="A269" s="1" t="s">
        <v>471</v>
      </c>
      <c r="B269" s="1" t="s">
        <v>35</v>
      </c>
      <c r="C269" s="1" t="s">
        <v>342</v>
      </c>
      <c r="D269" s="1" t="s">
        <v>40</v>
      </c>
      <c r="G269" s="1" t="s">
        <v>469</v>
      </c>
    </row>
    <row r="270" spans="1:9" ht="59" hidden="1" x14ac:dyDescent="0.75">
      <c r="A270" s="1" t="s">
        <v>472</v>
      </c>
      <c r="B270" s="1" t="s">
        <v>23</v>
      </c>
      <c r="C270" s="1" t="s">
        <v>342</v>
      </c>
      <c r="D270" s="1" t="s">
        <v>61</v>
      </c>
      <c r="G270" s="1" t="s">
        <v>470</v>
      </c>
    </row>
    <row r="271" spans="1:9" ht="103.25" hidden="1" x14ac:dyDescent="0.75">
      <c r="A271" s="1" t="s">
        <v>475</v>
      </c>
      <c r="B271" s="1" t="s">
        <v>97</v>
      </c>
      <c r="C271" s="1" t="s">
        <v>29</v>
      </c>
      <c r="D271" s="1" t="s">
        <v>47</v>
      </c>
      <c r="F271" s="1" t="s">
        <v>473</v>
      </c>
    </row>
    <row r="272" spans="1:9" ht="59" hidden="1" x14ac:dyDescent="0.75">
      <c r="A272" s="1" t="s">
        <v>476</v>
      </c>
      <c r="B272" s="1" t="s">
        <v>97</v>
      </c>
      <c r="C272" s="1" t="s">
        <v>29</v>
      </c>
      <c r="D272" s="1" t="s">
        <v>47</v>
      </c>
      <c r="F272" s="1" t="s">
        <v>474</v>
      </c>
    </row>
  </sheetData>
  <autoFilter ref="A2:I272" xr:uid="{00000000-0009-0000-0000-000000000000}">
    <filterColumn colId="8">
      <customFilters>
        <customFilter operator="notEqual" val=" "/>
      </customFilters>
    </filterColumn>
  </autoFilter>
  <pageMargins left="0.7" right="0.7" top="0.75" bottom="0.75" header="0.3" footer="0.3"/>
  <ignoredErrors>
    <ignoredError sqref="A1:A258 B1:B258 C1:C258 D1:D258 E1:E258 F1:F258 G1:G212 H1:H258 I1:I258 G214:G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19E-8717-4F1F-81E1-5C2485CF6F4E}">
  <dimension ref="A1:O37"/>
  <sheetViews>
    <sheetView topLeftCell="A2" zoomScale="80" zoomScaleNormal="80" workbookViewId="0">
      <selection activeCell="G33" sqref="G33"/>
    </sheetView>
  </sheetViews>
  <sheetFormatPr defaultRowHeight="14.75" x14ac:dyDescent="0.75"/>
  <cols>
    <col min="1" max="1" width="73.76953125" customWidth="1"/>
    <col min="6" max="6" width="44.08984375" customWidth="1"/>
  </cols>
  <sheetData>
    <row r="1" spans="1:15" x14ac:dyDescent="0.75">
      <c r="A1" s="14" t="s">
        <v>4</v>
      </c>
      <c r="B1" s="14"/>
      <c r="C1" s="14"/>
      <c r="D1" s="14"/>
      <c r="E1" s="14"/>
      <c r="F1" s="15" t="s">
        <v>483</v>
      </c>
      <c r="G1" s="14" t="s">
        <v>484</v>
      </c>
    </row>
    <row r="2" spans="1:15" x14ac:dyDescent="0.75">
      <c r="A2" s="14" t="s">
        <v>437</v>
      </c>
      <c r="B2" s="14" t="s">
        <v>477</v>
      </c>
      <c r="C2" s="14" t="s">
        <v>485</v>
      </c>
      <c r="D2" s="14" t="s">
        <v>486</v>
      </c>
      <c r="E2" s="14" t="s">
        <v>487</v>
      </c>
      <c r="F2" s="15"/>
      <c r="G2" s="14"/>
    </row>
    <row r="3" spans="1:15" x14ac:dyDescent="0.75">
      <c r="A3" s="1" t="s">
        <v>49</v>
      </c>
      <c r="B3" s="3" t="b">
        <v>1</v>
      </c>
      <c r="C3" s="3" t="b">
        <v>0</v>
      </c>
      <c r="D3" s="3" t="b">
        <v>0</v>
      </c>
      <c r="E3" s="3" t="b">
        <v>0</v>
      </c>
      <c r="F3" s="8" t="s">
        <v>488</v>
      </c>
      <c r="G3">
        <v>3</v>
      </c>
      <c r="I3" s="18" t="s">
        <v>12</v>
      </c>
      <c r="J3" s="18"/>
      <c r="K3" s="18"/>
      <c r="L3" s="18"/>
      <c r="M3" s="18"/>
      <c r="N3" s="18"/>
      <c r="O3" s="18"/>
    </row>
    <row r="4" spans="1:15" ht="29.5" x14ac:dyDescent="0.75">
      <c r="A4" s="1" t="s">
        <v>67</v>
      </c>
      <c r="B4" s="3" t="b">
        <v>1</v>
      </c>
      <c r="C4" s="3" t="b">
        <v>0</v>
      </c>
      <c r="D4" s="3" t="b">
        <v>0</v>
      </c>
      <c r="E4" s="3" t="b">
        <v>0</v>
      </c>
      <c r="F4" s="8" t="s">
        <v>488</v>
      </c>
      <c r="G4">
        <v>3</v>
      </c>
      <c r="I4" s="18"/>
      <c r="J4" s="18"/>
      <c r="K4" s="18"/>
      <c r="L4" s="18"/>
      <c r="M4" s="18"/>
      <c r="N4" s="18"/>
      <c r="O4" s="18"/>
    </row>
    <row r="5" spans="1:15" ht="29.5" x14ac:dyDescent="0.75">
      <c r="A5" s="5" t="s">
        <v>69</v>
      </c>
      <c r="B5" s="3" t="b">
        <v>0</v>
      </c>
      <c r="C5" s="3" t="b">
        <v>0</v>
      </c>
      <c r="D5" s="3" t="b">
        <v>0</v>
      </c>
      <c r="E5" s="3" t="b">
        <v>0</v>
      </c>
      <c r="F5" s="8"/>
      <c r="G5">
        <v>3</v>
      </c>
      <c r="I5" s="18"/>
      <c r="J5" s="18"/>
      <c r="K5" s="18"/>
      <c r="L5" s="18"/>
      <c r="M5" s="18"/>
      <c r="N5" s="18"/>
      <c r="O5" s="18"/>
    </row>
    <row r="6" spans="1:15" x14ac:dyDescent="0.75">
      <c r="A6" s="1" t="s">
        <v>89</v>
      </c>
      <c r="B6" s="3" t="b">
        <v>0</v>
      </c>
      <c r="C6" s="3" t="b">
        <v>0</v>
      </c>
      <c r="D6" s="3" t="b">
        <v>1</v>
      </c>
      <c r="E6" s="3" t="b">
        <v>0</v>
      </c>
      <c r="F6" s="8" t="s">
        <v>492</v>
      </c>
      <c r="G6">
        <v>3</v>
      </c>
      <c r="I6" s="18"/>
      <c r="J6" s="18"/>
      <c r="K6" s="18"/>
      <c r="L6" s="18"/>
      <c r="M6" s="18"/>
      <c r="N6" s="18"/>
      <c r="O6" s="18"/>
    </row>
    <row r="7" spans="1:15" x14ac:dyDescent="0.75">
      <c r="A7" s="1" t="s">
        <v>99</v>
      </c>
      <c r="B7" s="3" t="b">
        <v>0</v>
      </c>
      <c r="C7" s="3" t="b">
        <v>0</v>
      </c>
      <c r="D7" s="3" t="b">
        <v>1</v>
      </c>
      <c r="E7" s="3" t="b">
        <v>0</v>
      </c>
      <c r="F7" s="8" t="s">
        <v>493</v>
      </c>
      <c r="G7">
        <v>3</v>
      </c>
      <c r="I7" s="18"/>
      <c r="J7" s="18"/>
      <c r="K7" s="18"/>
      <c r="L7" s="18"/>
      <c r="M7" s="18"/>
      <c r="N7" s="18"/>
      <c r="O7" s="18"/>
    </row>
    <row r="8" spans="1:15" x14ac:dyDescent="0.75">
      <c r="A8" s="1" t="s">
        <v>104</v>
      </c>
      <c r="B8" s="3" t="b">
        <v>0</v>
      </c>
      <c r="C8" s="3" t="b">
        <v>0</v>
      </c>
      <c r="D8" s="3" t="b">
        <v>0</v>
      </c>
      <c r="E8" s="3" t="b">
        <v>1</v>
      </c>
      <c r="F8" s="8" t="s">
        <v>494</v>
      </c>
      <c r="G8">
        <v>3</v>
      </c>
      <c r="I8" s="18"/>
      <c r="J8" s="18"/>
      <c r="K8" s="18"/>
      <c r="L8" s="18"/>
      <c r="M8" s="18"/>
      <c r="N8" s="18"/>
      <c r="O8" s="18"/>
    </row>
    <row r="9" spans="1:15" x14ac:dyDescent="0.75">
      <c r="A9" s="5" t="s">
        <v>123</v>
      </c>
      <c r="B9" s="3" t="b">
        <v>0</v>
      </c>
      <c r="C9" s="3" t="b">
        <v>0</v>
      </c>
      <c r="D9" s="3" t="b">
        <v>0</v>
      </c>
      <c r="E9" s="3" t="b">
        <v>0</v>
      </c>
      <c r="F9" s="8"/>
      <c r="G9">
        <v>3</v>
      </c>
      <c r="I9" s="18"/>
      <c r="J9" s="18"/>
      <c r="K9" s="18"/>
      <c r="L9" s="18"/>
      <c r="M9" s="18"/>
      <c r="N9" s="18"/>
      <c r="O9" s="18"/>
    </row>
    <row r="10" spans="1:15" x14ac:dyDescent="0.75">
      <c r="A10" s="5" t="s">
        <v>169</v>
      </c>
      <c r="B10" s="3" t="b">
        <v>0</v>
      </c>
      <c r="C10" s="3" t="b">
        <v>0</v>
      </c>
      <c r="D10" s="3" t="b">
        <v>0</v>
      </c>
      <c r="E10" s="3" t="b">
        <v>0</v>
      </c>
      <c r="F10" s="8"/>
      <c r="G10">
        <v>3</v>
      </c>
      <c r="I10" s="18"/>
      <c r="J10" s="18"/>
      <c r="K10" s="18"/>
      <c r="L10" s="18"/>
      <c r="M10" s="18"/>
      <c r="N10" s="18"/>
      <c r="O10" s="18"/>
    </row>
    <row r="11" spans="1:15" x14ac:dyDescent="0.75">
      <c r="A11" s="1" t="s">
        <v>171</v>
      </c>
      <c r="B11" s="3" t="b">
        <v>1</v>
      </c>
      <c r="C11" s="3" t="b">
        <v>0</v>
      </c>
      <c r="D11" s="3" t="b">
        <v>0</v>
      </c>
      <c r="E11" s="3" t="b">
        <v>0</v>
      </c>
      <c r="F11" s="8" t="s">
        <v>488</v>
      </c>
      <c r="G11">
        <v>3</v>
      </c>
      <c r="I11" s="18"/>
      <c r="J11" s="18"/>
      <c r="K11" s="18"/>
      <c r="L11" s="18"/>
      <c r="M11" s="18"/>
      <c r="N11" s="18"/>
      <c r="O11" s="18"/>
    </row>
    <row r="12" spans="1:15" ht="29.5" x14ac:dyDescent="0.75">
      <c r="A12" s="1" t="s">
        <v>173</v>
      </c>
      <c r="B12" s="3" t="b">
        <v>0</v>
      </c>
      <c r="C12" s="3" t="b">
        <v>0</v>
      </c>
      <c r="D12" s="3" t="b">
        <v>1</v>
      </c>
      <c r="E12" s="3" t="b">
        <v>0</v>
      </c>
      <c r="F12" s="8" t="s">
        <v>489</v>
      </c>
      <c r="G12">
        <v>3</v>
      </c>
      <c r="I12" s="18"/>
      <c r="J12" s="18"/>
      <c r="K12" s="18"/>
      <c r="L12" s="18"/>
      <c r="M12" s="18"/>
      <c r="N12" s="18"/>
      <c r="O12" s="18"/>
    </row>
    <row r="13" spans="1:15" x14ac:dyDescent="0.75">
      <c r="A13" s="1" t="s">
        <v>198</v>
      </c>
      <c r="B13" s="3" t="b">
        <v>0</v>
      </c>
      <c r="C13" s="3" t="b">
        <v>0</v>
      </c>
      <c r="D13" s="3" t="b">
        <v>1</v>
      </c>
      <c r="E13" s="3" t="b">
        <v>0</v>
      </c>
      <c r="F13" s="8" t="s">
        <v>489</v>
      </c>
      <c r="G13">
        <v>3</v>
      </c>
      <c r="I13" s="18"/>
      <c r="J13" s="18"/>
      <c r="K13" s="18"/>
      <c r="L13" s="18"/>
      <c r="M13" s="18"/>
      <c r="N13" s="18"/>
      <c r="O13" s="18"/>
    </row>
    <row r="14" spans="1:15" x14ac:dyDescent="0.75">
      <c r="A14" s="1" t="s">
        <v>228</v>
      </c>
      <c r="B14" s="3" t="b">
        <v>0</v>
      </c>
      <c r="C14" s="3" t="b">
        <v>0</v>
      </c>
      <c r="D14" s="3" t="b">
        <v>1</v>
      </c>
      <c r="E14" s="3" t="b">
        <v>0</v>
      </c>
      <c r="F14" s="8" t="s">
        <v>489</v>
      </c>
      <c r="G14">
        <v>3</v>
      </c>
      <c r="I14" s="18"/>
      <c r="J14" s="18"/>
      <c r="K14" s="18"/>
      <c r="L14" s="18"/>
      <c r="M14" s="18"/>
      <c r="N14" s="18"/>
      <c r="O14" s="18"/>
    </row>
    <row r="15" spans="1:15" x14ac:dyDescent="0.75">
      <c r="A15" s="5" t="s">
        <v>258</v>
      </c>
      <c r="B15" s="3" t="b">
        <v>0</v>
      </c>
      <c r="C15" s="3" t="b">
        <v>0</v>
      </c>
      <c r="D15" s="3" t="b">
        <v>0</v>
      </c>
      <c r="E15" s="3" t="b">
        <v>0</v>
      </c>
      <c r="F15" s="8"/>
      <c r="G15">
        <v>3</v>
      </c>
      <c r="I15" s="18"/>
      <c r="J15" s="18"/>
      <c r="K15" s="18"/>
      <c r="L15" s="18"/>
      <c r="M15" s="18"/>
      <c r="N15" s="18"/>
      <c r="O15" s="18"/>
    </row>
    <row r="16" spans="1:15" x14ac:dyDescent="0.75">
      <c r="A16" s="1" t="s">
        <v>270</v>
      </c>
      <c r="B16" s="3" t="b">
        <v>0</v>
      </c>
      <c r="C16" s="3" t="b">
        <v>0</v>
      </c>
      <c r="D16" s="3" t="b">
        <v>1</v>
      </c>
      <c r="E16" s="3" t="b">
        <v>0</v>
      </c>
      <c r="F16" s="8" t="s">
        <v>489</v>
      </c>
      <c r="G16">
        <v>3</v>
      </c>
      <c r="I16" s="18"/>
      <c r="J16" s="18"/>
      <c r="K16" s="18"/>
      <c r="L16" s="18"/>
      <c r="M16" s="18"/>
      <c r="N16" s="18"/>
      <c r="O16" s="18"/>
    </row>
    <row r="17" spans="1:15" x14ac:dyDescent="0.75">
      <c r="A17" s="1" t="s">
        <v>282</v>
      </c>
      <c r="B17" s="3" t="b">
        <v>0</v>
      </c>
      <c r="C17" s="3" t="b">
        <v>1</v>
      </c>
      <c r="D17" s="3" t="b">
        <v>0</v>
      </c>
      <c r="E17" s="3" t="b">
        <v>0</v>
      </c>
      <c r="F17" s="8" t="s">
        <v>495</v>
      </c>
      <c r="G17">
        <v>3</v>
      </c>
      <c r="I17" s="18"/>
      <c r="J17" s="18"/>
      <c r="K17" s="18"/>
      <c r="L17" s="18"/>
      <c r="M17" s="18"/>
      <c r="N17" s="18"/>
      <c r="O17" s="18"/>
    </row>
    <row r="18" spans="1:15" x14ac:dyDescent="0.75">
      <c r="A18" s="1" t="s">
        <v>284</v>
      </c>
      <c r="B18" s="3" t="b">
        <v>1</v>
      </c>
      <c r="C18" s="3" t="b">
        <v>0</v>
      </c>
      <c r="D18" s="3" t="b">
        <v>0</v>
      </c>
      <c r="E18" s="3" t="b">
        <v>0</v>
      </c>
      <c r="F18" s="8" t="s">
        <v>488</v>
      </c>
      <c r="G18">
        <v>3</v>
      </c>
      <c r="I18" s="18"/>
      <c r="J18" s="18"/>
      <c r="K18" s="18"/>
      <c r="L18" s="18"/>
      <c r="M18" s="18"/>
      <c r="N18" s="18"/>
      <c r="O18" s="18"/>
    </row>
    <row r="19" spans="1:15" x14ac:dyDescent="0.75">
      <c r="A19" s="1" t="s">
        <v>290</v>
      </c>
      <c r="B19" s="3" t="b">
        <v>1</v>
      </c>
      <c r="C19" s="3" t="b">
        <v>0</v>
      </c>
      <c r="D19" s="3" t="b">
        <v>0</v>
      </c>
      <c r="E19" s="3" t="b">
        <v>0</v>
      </c>
      <c r="F19" s="11" t="s">
        <v>488</v>
      </c>
      <c r="G19">
        <v>3</v>
      </c>
      <c r="I19" s="18"/>
      <c r="J19" s="18"/>
      <c r="K19" s="18"/>
      <c r="L19" s="18"/>
      <c r="M19" s="18"/>
      <c r="N19" s="18"/>
      <c r="O19" s="18"/>
    </row>
    <row r="20" spans="1:15" x14ac:dyDescent="0.75">
      <c r="A20" s="1" t="s">
        <v>303</v>
      </c>
      <c r="B20" s="3" t="b">
        <v>1</v>
      </c>
      <c r="C20" s="3" t="b">
        <v>0</v>
      </c>
      <c r="D20" s="3" t="b">
        <v>0</v>
      </c>
      <c r="E20" s="3" t="b">
        <v>0</v>
      </c>
      <c r="F20" s="8" t="s">
        <v>488</v>
      </c>
      <c r="G20">
        <v>3</v>
      </c>
      <c r="I20" s="18"/>
      <c r="J20" s="18"/>
      <c r="K20" s="18"/>
      <c r="L20" s="18"/>
      <c r="M20" s="18"/>
      <c r="N20" s="18"/>
      <c r="O20" s="18"/>
    </row>
    <row r="21" spans="1:15" x14ac:dyDescent="0.75">
      <c r="A21" s="1" t="s">
        <v>307</v>
      </c>
      <c r="B21" s="3" t="b">
        <v>1</v>
      </c>
      <c r="C21" s="3" t="b">
        <v>0</v>
      </c>
      <c r="D21" s="3" t="b">
        <v>0</v>
      </c>
      <c r="E21" s="3" t="b">
        <v>0</v>
      </c>
      <c r="F21" s="8" t="s">
        <v>488</v>
      </c>
      <c r="G21">
        <v>3</v>
      </c>
      <c r="I21" s="18"/>
      <c r="J21" s="18"/>
      <c r="K21" s="18"/>
      <c r="L21" s="18"/>
      <c r="M21" s="18"/>
      <c r="N21" s="18"/>
      <c r="O21" s="18"/>
    </row>
    <row r="22" spans="1:15" x14ac:dyDescent="0.75">
      <c r="A22" s="5" t="s">
        <v>314</v>
      </c>
      <c r="B22" s="3" t="b">
        <v>0</v>
      </c>
      <c r="C22" s="3" t="b">
        <v>0</v>
      </c>
      <c r="D22" s="3" t="b">
        <v>0</v>
      </c>
      <c r="E22" s="3" t="b">
        <v>0</v>
      </c>
      <c r="F22" s="8"/>
      <c r="G22">
        <v>3</v>
      </c>
      <c r="I22" s="18"/>
      <c r="J22" s="18"/>
      <c r="K22" s="18"/>
      <c r="L22" s="18"/>
      <c r="M22" s="18"/>
      <c r="N22" s="18"/>
      <c r="O22" s="18"/>
    </row>
    <row r="23" spans="1:15" x14ac:dyDescent="0.75">
      <c r="A23" s="1" t="s">
        <v>324</v>
      </c>
      <c r="B23" s="3" t="b">
        <v>1</v>
      </c>
      <c r="C23" s="3" t="b">
        <v>0</v>
      </c>
      <c r="D23" s="3" t="b">
        <v>0</v>
      </c>
      <c r="E23" s="3" t="b">
        <v>0</v>
      </c>
      <c r="F23" s="8" t="s">
        <v>488</v>
      </c>
      <c r="G23">
        <v>3</v>
      </c>
      <c r="I23" s="18"/>
      <c r="J23" s="18"/>
      <c r="K23" s="18"/>
      <c r="L23" s="18"/>
      <c r="M23" s="18"/>
      <c r="N23" s="18"/>
      <c r="O23" s="18"/>
    </row>
    <row r="24" spans="1:15" x14ac:dyDescent="0.75">
      <c r="A24" s="1" t="s">
        <v>340</v>
      </c>
      <c r="B24" s="3" t="b">
        <v>0</v>
      </c>
      <c r="C24" s="3" t="b">
        <v>0</v>
      </c>
      <c r="D24" s="3" t="b">
        <v>0</v>
      </c>
      <c r="E24" s="3" t="b">
        <v>1</v>
      </c>
      <c r="F24" s="8" t="s">
        <v>494</v>
      </c>
      <c r="G24">
        <v>3</v>
      </c>
      <c r="I24" s="18"/>
      <c r="J24" s="18"/>
      <c r="K24" s="18"/>
      <c r="L24" s="18"/>
      <c r="M24" s="18"/>
      <c r="N24" s="18"/>
      <c r="O24" s="18"/>
    </row>
    <row r="25" spans="1:15" x14ac:dyDescent="0.75">
      <c r="A25" s="16" t="s">
        <v>358</v>
      </c>
      <c r="B25" s="3" t="s">
        <v>526</v>
      </c>
      <c r="C25" s="3" t="b">
        <v>0</v>
      </c>
      <c r="D25" s="3" t="b">
        <v>0</v>
      </c>
      <c r="E25" s="3" t="b">
        <v>0</v>
      </c>
      <c r="F25" s="8" t="s">
        <v>488</v>
      </c>
      <c r="G25">
        <v>3</v>
      </c>
      <c r="I25" s="18"/>
      <c r="J25" s="18"/>
      <c r="K25" s="18"/>
      <c r="L25" s="18"/>
      <c r="M25" s="18"/>
      <c r="N25" s="18"/>
      <c r="O25" s="18"/>
    </row>
    <row r="26" spans="1:15" x14ac:dyDescent="0.75">
      <c r="A26" s="1" t="s">
        <v>370</v>
      </c>
      <c r="B26" s="3" t="b">
        <v>1</v>
      </c>
      <c r="C26" s="3" t="b">
        <v>0</v>
      </c>
      <c r="D26" s="3" t="b">
        <v>0</v>
      </c>
      <c r="E26" s="3" t="b">
        <v>0</v>
      </c>
      <c r="F26" s="8" t="s">
        <v>488</v>
      </c>
      <c r="G26">
        <v>3</v>
      </c>
      <c r="I26" s="18"/>
      <c r="J26" s="18"/>
      <c r="K26" s="18"/>
      <c r="L26" s="18"/>
      <c r="M26" s="18"/>
      <c r="N26" s="18"/>
      <c r="O26" s="18"/>
    </row>
    <row r="27" spans="1:15" ht="29.5" x14ac:dyDescent="0.75">
      <c r="A27" s="1" t="s">
        <v>397</v>
      </c>
      <c r="B27" s="3" t="b">
        <v>1</v>
      </c>
      <c r="C27" s="3" t="b">
        <v>0</v>
      </c>
      <c r="D27" s="3" t="b">
        <v>0</v>
      </c>
      <c r="E27" s="3" t="b">
        <v>0</v>
      </c>
      <c r="F27" s="8" t="s">
        <v>488</v>
      </c>
      <c r="G27">
        <v>3</v>
      </c>
    </row>
    <row r="28" spans="1:15" x14ac:dyDescent="0.75">
      <c r="A28" s="1" t="s">
        <v>454</v>
      </c>
      <c r="B28" s="3" t="b">
        <v>1</v>
      </c>
      <c r="C28" s="3" t="b">
        <v>0</v>
      </c>
      <c r="D28" s="3" t="b">
        <v>0</v>
      </c>
      <c r="E28" s="3" t="b">
        <v>0</v>
      </c>
      <c r="F28" s="8" t="s">
        <v>488</v>
      </c>
      <c r="G28">
        <v>3</v>
      </c>
      <c r="I28" s="10" t="s">
        <v>478</v>
      </c>
      <c r="J28" t="s">
        <v>480</v>
      </c>
    </row>
    <row r="29" spans="1:15" x14ac:dyDescent="0.75">
      <c r="A29" s="1" t="s">
        <v>455</v>
      </c>
      <c r="B29" s="3" t="b">
        <v>0</v>
      </c>
      <c r="C29" s="3" t="b">
        <v>0</v>
      </c>
      <c r="D29" s="3" t="b">
        <v>1</v>
      </c>
      <c r="E29" s="3" t="b">
        <v>0</v>
      </c>
      <c r="F29" s="8" t="s">
        <v>489</v>
      </c>
      <c r="G29">
        <v>3</v>
      </c>
    </row>
    <row r="30" spans="1:15" x14ac:dyDescent="0.75">
      <c r="A30" s="1" t="s">
        <v>456</v>
      </c>
      <c r="B30" s="3" t="b">
        <v>1</v>
      </c>
      <c r="C30" s="3" t="b">
        <v>0</v>
      </c>
      <c r="D30" s="3" t="b">
        <v>0</v>
      </c>
      <c r="E30" s="3" t="b">
        <v>0</v>
      </c>
      <c r="F30" s="8" t="s">
        <v>488</v>
      </c>
      <c r="G30">
        <v>3</v>
      </c>
      <c r="I30" s="10" t="s">
        <v>479</v>
      </c>
    </row>
    <row r="31" spans="1:15" ht="29.5" x14ac:dyDescent="0.75">
      <c r="A31" s="1" t="s">
        <v>457</v>
      </c>
      <c r="B31" s="3" t="b">
        <v>0</v>
      </c>
      <c r="C31" s="3" t="b">
        <v>0</v>
      </c>
      <c r="D31" s="3" t="b">
        <v>1</v>
      </c>
      <c r="E31" s="3" t="b">
        <v>0</v>
      </c>
      <c r="F31" s="8" t="s">
        <v>489</v>
      </c>
      <c r="G31">
        <v>3</v>
      </c>
      <c r="I31" s="10" t="s">
        <v>482</v>
      </c>
    </row>
    <row r="32" spans="1:15" ht="29.5" x14ac:dyDescent="0.75">
      <c r="A32" s="1" t="s">
        <v>458</v>
      </c>
      <c r="B32" s="3" t="b">
        <v>0</v>
      </c>
      <c r="C32" s="3" t="b">
        <v>0</v>
      </c>
      <c r="D32" s="3" t="b">
        <v>0</v>
      </c>
      <c r="E32" s="3" t="b">
        <v>1</v>
      </c>
      <c r="F32" s="8" t="s">
        <v>494</v>
      </c>
      <c r="G32">
        <v>3</v>
      </c>
      <c r="I32" t="s">
        <v>481</v>
      </c>
    </row>
    <row r="33" spans="2:10" x14ac:dyDescent="0.75">
      <c r="F33" s="8"/>
      <c r="I33" s="10"/>
    </row>
    <row r="34" spans="2:10" x14ac:dyDescent="0.75">
      <c r="B34">
        <f>COUNTIF(B3:B31, TRUE)</f>
        <v>12</v>
      </c>
      <c r="C34">
        <f t="shared" ref="C34:D34" si="0">COUNTIF(C3:C31, TRUE)</f>
        <v>1</v>
      </c>
      <c r="D34">
        <f t="shared" si="0"/>
        <v>8</v>
      </c>
      <c r="E34">
        <f>COUNTIF(E3:E32, TRUE)</f>
        <v>3</v>
      </c>
      <c r="F34" s="8">
        <f>SUM(B34:E34)</f>
        <v>24</v>
      </c>
    </row>
    <row r="35" spans="2:10" x14ac:dyDescent="0.75">
      <c r="I35" s="10" t="s">
        <v>477</v>
      </c>
      <c r="J35" s="13" t="s">
        <v>490</v>
      </c>
    </row>
    <row r="37" spans="2:10" x14ac:dyDescent="0.75">
      <c r="J37" t="s">
        <v>491</v>
      </c>
    </row>
  </sheetData>
  <mergeCells count="1">
    <mergeCell ref="I3:O26"/>
  </mergeCells>
  <conditionalFormatting sqref="G3:G32">
    <cfRule type="cellIs" dxfId="5" priority="1" operator="lessThan">
      <formul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6BC1-1592-43B2-AFB2-02BDFDE3D0AE}">
  <dimension ref="A1:O34"/>
  <sheetViews>
    <sheetView workbookViewId="0">
      <selection activeCell="F40" sqref="F40"/>
    </sheetView>
  </sheetViews>
  <sheetFormatPr defaultRowHeight="14.75" x14ac:dyDescent="0.75"/>
  <cols>
    <col min="1" max="1" width="66.953125" customWidth="1"/>
    <col min="6" max="6" width="30.7265625" customWidth="1"/>
  </cols>
  <sheetData>
    <row r="1" spans="1:15" x14ac:dyDescent="0.75">
      <c r="A1" s="14" t="s">
        <v>5</v>
      </c>
      <c r="B1" s="14"/>
      <c r="C1" s="14"/>
      <c r="D1" s="14"/>
      <c r="E1" s="14"/>
      <c r="F1" s="15" t="s">
        <v>483</v>
      </c>
      <c r="G1" s="14" t="s">
        <v>484</v>
      </c>
    </row>
    <row r="2" spans="1:15" x14ac:dyDescent="0.75">
      <c r="A2" s="14" t="s">
        <v>438</v>
      </c>
      <c r="B2" s="14" t="s">
        <v>477</v>
      </c>
      <c r="C2" s="14" t="s">
        <v>485</v>
      </c>
      <c r="D2" s="14" t="s">
        <v>486</v>
      </c>
      <c r="E2" s="14" t="s">
        <v>487</v>
      </c>
      <c r="F2" s="15"/>
      <c r="G2" s="14"/>
    </row>
    <row r="3" spans="1:15" x14ac:dyDescent="0.75">
      <c r="A3" s="1" t="s">
        <v>26</v>
      </c>
      <c r="B3" s="3" t="b">
        <v>1</v>
      </c>
      <c r="C3" s="3" t="b">
        <v>0</v>
      </c>
      <c r="D3" s="3" t="b">
        <v>0</v>
      </c>
      <c r="E3" s="3" t="b">
        <v>0</v>
      </c>
      <c r="F3" s="8" t="s">
        <v>488</v>
      </c>
      <c r="G3">
        <v>3</v>
      </c>
      <c r="I3" s="18" t="s">
        <v>13</v>
      </c>
      <c r="J3" s="18"/>
      <c r="K3" s="18"/>
      <c r="L3" s="18"/>
      <c r="M3" s="18"/>
      <c r="N3" s="18"/>
      <c r="O3" s="18"/>
    </row>
    <row r="4" spans="1:15" x14ac:dyDescent="0.75">
      <c r="A4" s="1" t="s">
        <v>52</v>
      </c>
      <c r="B4" s="3" t="b">
        <v>0</v>
      </c>
      <c r="C4" s="3" t="b">
        <v>1</v>
      </c>
      <c r="D4" s="3" t="b">
        <v>0</v>
      </c>
      <c r="E4" s="3" t="b">
        <v>0</v>
      </c>
      <c r="F4" s="8" t="s">
        <v>527</v>
      </c>
      <c r="G4">
        <v>2</v>
      </c>
      <c r="I4" s="18"/>
      <c r="J4" s="18"/>
      <c r="K4" s="18"/>
      <c r="L4" s="18"/>
      <c r="M4" s="18"/>
      <c r="N4" s="18"/>
      <c r="O4" s="18"/>
    </row>
    <row r="5" spans="1:15" x14ac:dyDescent="0.75">
      <c r="A5" s="16" t="s">
        <v>64</v>
      </c>
      <c r="B5" s="3" t="s">
        <v>526</v>
      </c>
      <c r="C5" s="3" t="b">
        <v>0</v>
      </c>
      <c r="D5" s="3" t="b">
        <v>0</v>
      </c>
      <c r="E5" s="3" t="b">
        <v>0</v>
      </c>
      <c r="F5" s="8" t="s">
        <v>488</v>
      </c>
      <c r="G5">
        <v>3</v>
      </c>
      <c r="I5" s="18"/>
      <c r="J5" s="18"/>
      <c r="K5" s="18"/>
      <c r="L5" s="18"/>
      <c r="M5" s="18"/>
      <c r="N5" s="18"/>
      <c r="O5" s="18"/>
    </row>
    <row r="6" spans="1:15" ht="44.25" x14ac:dyDescent="0.75">
      <c r="A6" s="1" t="s">
        <v>73</v>
      </c>
      <c r="B6" s="3" t="b">
        <v>1</v>
      </c>
      <c r="C6" s="3" t="b">
        <v>0</v>
      </c>
      <c r="D6" s="3" t="b">
        <v>0</v>
      </c>
      <c r="E6" s="3" t="b">
        <v>0</v>
      </c>
      <c r="F6" s="8" t="s">
        <v>488</v>
      </c>
      <c r="G6">
        <v>3</v>
      </c>
      <c r="I6" s="18"/>
      <c r="J6" s="18"/>
      <c r="K6" s="18"/>
      <c r="L6" s="18"/>
      <c r="M6" s="18"/>
      <c r="N6" s="18"/>
      <c r="O6" s="18"/>
    </row>
    <row r="7" spans="1:15" x14ac:dyDescent="0.75">
      <c r="A7" s="1" t="s">
        <v>84</v>
      </c>
      <c r="B7" s="3" t="b">
        <v>0</v>
      </c>
      <c r="C7" s="3" t="b">
        <v>1</v>
      </c>
      <c r="D7" s="3" t="b">
        <v>0</v>
      </c>
      <c r="E7" s="3" t="b">
        <v>0</v>
      </c>
      <c r="F7" s="8" t="s">
        <v>528</v>
      </c>
      <c r="G7">
        <v>2</v>
      </c>
      <c r="I7" s="18"/>
      <c r="J7" s="18"/>
      <c r="K7" s="18"/>
      <c r="L7" s="18"/>
      <c r="M7" s="18"/>
      <c r="N7" s="18"/>
      <c r="O7" s="18"/>
    </row>
    <row r="8" spans="1:15" x14ac:dyDescent="0.75">
      <c r="A8" s="1" t="s">
        <v>111</v>
      </c>
      <c r="B8" s="3" t="b">
        <v>1</v>
      </c>
      <c r="C8" s="3" t="b">
        <v>0</v>
      </c>
      <c r="D8" s="3" t="b">
        <v>0</v>
      </c>
      <c r="E8" s="3" t="b">
        <v>0</v>
      </c>
      <c r="F8" s="8" t="s">
        <v>488</v>
      </c>
      <c r="G8">
        <v>3</v>
      </c>
      <c r="I8" s="18"/>
      <c r="J8" s="18"/>
      <c r="K8" s="18"/>
      <c r="L8" s="18"/>
      <c r="M8" s="18"/>
      <c r="N8" s="18"/>
      <c r="O8" s="18"/>
    </row>
    <row r="9" spans="1:15" ht="29.5" x14ac:dyDescent="0.75">
      <c r="A9" s="1" t="s">
        <v>130</v>
      </c>
      <c r="B9" s="3" t="b">
        <v>1</v>
      </c>
      <c r="C9" s="3" t="b">
        <v>0</v>
      </c>
      <c r="D9" s="3" t="b">
        <v>0</v>
      </c>
      <c r="E9" s="3" t="b">
        <v>0</v>
      </c>
      <c r="F9" s="8" t="s">
        <v>488</v>
      </c>
      <c r="G9">
        <v>3</v>
      </c>
      <c r="I9" s="18"/>
      <c r="J9" s="18"/>
      <c r="K9" s="18"/>
      <c r="L9" s="18"/>
      <c r="M9" s="18"/>
      <c r="N9" s="18"/>
      <c r="O9" s="18"/>
    </row>
    <row r="10" spans="1:15" x14ac:dyDescent="0.75">
      <c r="A10" s="1" t="s">
        <v>155</v>
      </c>
      <c r="B10" s="3" t="b">
        <v>1</v>
      </c>
      <c r="C10" s="3" t="b">
        <v>0</v>
      </c>
      <c r="D10" s="3" t="b">
        <v>0</v>
      </c>
      <c r="E10" s="3" t="b">
        <v>0</v>
      </c>
      <c r="F10" s="8" t="s">
        <v>488</v>
      </c>
      <c r="G10">
        <v>3</v>
      </c>
      <c r="I10" s="18"/>
      <c r="J10" s="18"/>
      <c r="K10" s="18"/>
      <c r="L10" s="18"/>
      <c r="M10" s="18"/>
      <c r="N10" s="18"/>
      <c r="O10" s="18"/>
    </row>
    <row r="11" spans="1:15" ht="29.5" x14ac:dyDescent="0.75">
      <c r="A11" s="1" t="s">
        <v>167</v>
      </c>
      <c r="B11" s="3" t="b">
        <v>0</v>
      </c>
      <c r="C11" s="3" t="b">
        <v>0</v>
      </c>
      <c r="D11" s="3" t="b">
        <v>1</v>
      </c>
      <c r="E11" s="3" t="b">
        <v>0</v>
      </c>
      <c r="F11" s="8" t="s">
        <v>502</v>
      </c>
      <c r="G11">
        <v>2</v>
      </c>
      <c r="I11" s="18"/>
      <c r="J11" s="18"/>
      <c r="K11" s="18"/>
      <c r="L11" s="18"/>
      <c r="M11" s="18"/>
      <c r="N11" s="18"/>
      <c r="O11" s="18"/>
    </row>
    <row r="12" spans="1:15" x14ac:dyDescent="0.75">
      <c r="A12" s="1" t="s">
        <v>192</v>
      </c>
      <c r="B12" s="3" t="b">
        <v>1</v>
      </c>
      <c r="C12" s="3" t="b">
        <v>0</v>
      </c>
      <c r="D12" s="3" t="b">
        <v>0</v>
      </c>
      <c r="E12" s="3" t="b">
        <v>0</v>
      </c>
      <c r="F12" s="8" t="s">
        <v>488</v>
      </c>
      <c r="G12">
        <v>3</v>
      </c>
      <c r="I12" s="18"/>
      <c r="J12" s="18"/>
      <c r="K12" s="18"/>
      <c r="L12" s="18"/>
      <c r="M12" s="18"/>
      <c r="N12" s="18"/>
      <c r="O12" s="18"/>
    </row>
    <row r="13" spans="1:15" x14ac:dyDescent="0.75">
      <c r="A13" s="1" t="s">
        <v>205</v>
      </c>
      <c r="B13" s="3" t="b">
        <v>0</v>
      </c>
      <c r="C13" s="3" t="b">
        <v>0</v>
      </c>
      <c r="D13" s="3" t="b">
        <v>0</v>
      </c>
      <c r="E13" s="3" t="b">
        <v>1</v>
      </c>
      <c r="F13" s="8" t="s">
        <v>494</v>
      </c>
      <c r="G13">
        <v>3</v>
      </c>
      <c r="I13" s="18"/>
      <c r="J13" s="18"/>
      <c r="K13" s="18"/>
      <c r="L13" s="18"/>
      <c r="M13" s="18"/>
      <c r="N13" s="18"/>
      <c r="O13" s="18"/>
    </row>
    <row r="14" spans="1:15" ht="29.5" x14ac:dyDescent="0.75">
      <c r="A14" s="1" t="s">
        <v>207</v>
      </c>
      <c r="B14" s="3" t="b">
        <v>1</v>
      </c>
      <c r="C14" s="3" t="b">
        <v>0</v>
      </c>
      <c r="D14" s="3" t="b">
        <v>0</v>
      </c>
      <c r="E14" s="3" t="b">
        <v>0</v>
      </c>
      <c r="F14" s="8" t="s">
        <v>488</v>
      </c>
      <c r="G14">
        <v>3</v>
      </c>
      <c r="I14" s="18"/>
      <c r="J14" s="18"/>
      <c r="K14" s="18"/>
      <c r="L14" s="18"/>
      <c r="M14" s="18"/>
      <c r="N14" s="18"/>
      <c r="O14" s="18"/>
    </row>
    <row r="15" spans="1:15" x14ac:dyDescent="0.75">
      <c r="A15" s="1" t="s">
        <v>210</v>
      </c>
      <c r="B15" s="3" t="b">
        <v>1</v>
      </c>
      <c r="C15" s="3" t="b">
        <v>0</v>
      </c>
      <c r="D15" s="3" t="b">
        <v>0</v>
      </c>
      <c r="E15" s="3" t="b">
        <v>0</v>
      </c>
      <c r="F15" s="8" t="s">
        <v>488</v>
      </c>
      <c r="G15">
        <v>3</v>
      </c>
      <c r="I15" s="18"/>
      <c r="J15" s="18"/>
      <c r="K15" s="18"/>
      <c r="L15" s="18"/>
      <c r="M15" s="18"/>
      <c r="N15" s="18"/>
      <c r="O15" s="18"/>
    </row>
    <row r="16" spans="1:15" ht="44.25" x14ac:dyDescent="0.75">
      <c r="A16" s="1" t="s">
        <v>218</v>
      </c>
      <c r="B16" s="3" t="b">
        <v>0</v>
      </c>
      <c r="C16" s="3" t="b">
        <v>0</v>
      </c>
      <c r="D16" s="3" t="b">
        <v>1</v>
      </c>
      <c r="E16" s="3" t="b">
        <v>0</v>
      </c>
      <c r="F16" s="8" t="s">
        <v>503</v>
      </c>
      <c r="G16">
        <v>3</v>
      </c>
      <c r="I16" s="18"/>
      <c r="J16" s="18"/>
      <c r="K16" s="18"/>
      <c r="L16" s="18"/>
      <c r="M16" s="18"/>
      <c r="N16" s="18"/>
      <c r="O16" s="18"/>
    </row>
    <row r="17" spans="1:15" x14ac:dyDescent="0.75">
      <c r="A17" s="1" t="s">
        <v>246</v>
      </c>
      <c r="B17" s="3" t="b">
        <v>1</v>
      </c>
      <c r="C17" s="3" t="b">
        <v>0</v>
      </c>
      <c r="D17" s="3" t="b">
        <v>0</v>
      </c>
      <c r="E17" s="3" t="b">
        <v>0</v>
      </c>
      <c r="F17" s="8" t="s">
        <v>488</v>
      </c>
      <c r="G17">
        <v>3</v>
      </c>
      <c r="I17" s="18"/>
      <c r="J17" s="18"/>
      <c r="K17" s="18"/>
      <c r="L17" s="18"/>
      <c r="M17" s="18"/>
      <c r="N17" s="18"/>
      <c r="O17" s="18"/>
    </row>
    <row r="18" spans="1:15" ht="29.5" x14ac:dyDescent="0.75">
      <c r="A18" s="1" t="s">
        <v>251</v>
      </c>
      <c r="B18" s="3" t="b">
        <v>1</v>
      </c>
      <c r="C18" s="3" t="b">
        <v>0</v>
      </c>
      <c r="D18" s="3" t="b">
        <v>0</v>
      </c>
      <c r="E18" s="3" t="b">
        <v>0</v>
      </c>
      <c r="F18" s="8" t="s">
        <v>488</v>
      </c>
      <c r="G18">
        <v>3</v>
      </c>
      <c r="I18" s="18"/>
      <c r="J18" s="18"/>
      <c r="K18" s="18"/>
      <c r="L18" s="18"/>
      <c r="M18" s="18"/>
      <c r="N18" s="18"/>
      <c r="O18" s="18"/>
    </row>
    <row r="19" spans="1:15" ht="29.5" x14ac:dyDescent="0.75">
      <c r="A19" s="1" t="s">
        <v>266</v>
      </c>
      <c r="B19" s="3" t="b">
        <v>0</v>
      </c>
      <c r="C19" s="3" t="b">
        <v>1</v>
      </c>
      <c r="D19" s="3" t="b">
        <v>0</v>
      </c>
      <c r="E19" s="3" t="b">
        <v>0</v>
      </c>
      <c r="F19" s="11" t="s">
        <v>504</v>
      </c>
      <c r="G19">
        <v>2</v>
      </c>
      <c r="I19" s="18"/>
      <c r="J19" s="18"/>
      <c r="K19" s="18"/>
      <c r="L19" s="18"/>
      <c r="M19" s="18"/>
      <c r="N19" s="18"/>
      <c r="O19" s="18"/>
    </row>
    <row r="20" spans="1:15" x14ac:dyDescent="0.75">
      <c r="A20" s="1" t="s">
        <v>295</v>
      </c>
      <c r="B20" s="3" t="b">
        <v>0</v>
      </c>
      <c r="C20" s="3" t="b">
        <v>0</v>
      </c>
      <c r="D20" s="3" t="b">
        <v>1</v>
      </c>
      <c r="E20" s="3" t="b">
        <v>0</v>
      </c>
      <c r="F20" s="8" t="s">
        <v>489</v>
      </c>
      <c r="G20">
        <v>3</v>
      </c>
      <c r="I20" s="18"/>
      <c r="J20" s="18"/>
      <c r="K20" s="18"/>
      <c r="L20" s="18"/>
      <c r="M20" s="18"/>
      <c r="N20" s="18"/>
      <c r="O20" s="18"/>
    </row>
    <row r="21" spans="1:15" x14ac:dyDescent="0.75">
      <c r="A21" s="1" t="s">
        <v>305</v>
      </c>
      <c r="B21" s="3" t="b">
        <v>1</v>
      </c>
      <c r="C21" s="3" t="b">
        <v>0</v>
      </c>
      <c r="D21" s="3" t="b">
        <v>0</v>
      </c>
      <c r="E21" s="3" t="b">
        <v>0</v>
      </c>
      <c r="F21" s="8" t="s">
        <v>488</v>
      </c>
      <c r="G21">
        <v>3</v>
      </c>
      <c r="I21" s="18"/>
      <c r="J21" s="18"/>
      <c r="K21" s="18"/>
      <c r="L21" s="18"/>
      <c r="M21" s="18"/>
      <c r="N21" s="18"/>
      <c r="O21" s="18"/>
    </row>
    <row r="22" spans="1:15" x14ac:dyDescent="0.75">
      <c r="A22" s="16" t="s">
        <v>331</v>
      </c>
      <c r="B22" s="3" t="s">
        <v>526</v>
      </c>
      <c r="C22" s="3" t="b">
        <v>0</v>
      </c>
      <c r="D22" s="3" t="b">
        <v>0</v>
      </c>
      <c r="E22" s="3" t="b">
        <v>0</v>
      </c>
      <c r="F22" s="8" t="s">
        <v>488</v>
      </c>
      <c r="G22">
        <v>3</v>
      </c>
      <c r="I22" s="18"/>
      <c r="J22" s="18"/>
      <c r="K22" s="18"/>
      <c r="L22" s="18"/>
      <c r="M22" s="18"/>
      <c r="N22" s="18"/>
      <c r="O22" s="18"/>
    </row>
    <row r="23" spans="1:15" ht="44.25" x14ac:dyDescent="0.75">
      <c r="A23" s="1" t="s">
        <v>366</v>
      </c>
      <c r="B23" s="3" t="b">
        <v>0</v>
      </c>
      <c r="C23" s="3" t="b">
        <v>0</v>
      </c>
      <c r="D23" s="3" t="b">
        <v>1</v>
      </c>
      <c r="E23" s="3" t="b">
        <v>0</v>
      </c>
      <c r="F23" s="8" t="s">
        <v>489</v>
      </c>
      <c r="G23">
        <v>3</v>
      </c>
      <c r="I23" s="18"/>
      <c r="J23" s="18"/>
      <c r="K23" s="18"/>
      <c r="L23" s="18"/>
      <c r="M23" s="18"/>
      <c r="N23" s="18"/>
      <c r="O23" s="18"/>
    </row>
    <row r="24" spans="1:15" ht="29.5" x14ac:dyDescent="0.75">
      <c r="A24" s="1" t="s">
        <v>379</v>
      </c>
      <c r="B24" s="3" t="b">
        <v>0</v>
      </c>
      <c r="C24" s="3" t="b">
        <v>0</v>
      </c>
      <c r="D24" s="3" t="b">
        <v>1</v>
      </c>
      <c r="E24" s="3" t="b">
        <v>0</v>
      </c>
      <c r="F24" s="8" t="s">
        <v>489</v>
      </c>
      <c r="G24">
        <v>2</v>
      </c>
      <c r="I24" s="18"/>
      <c r="J24" s="18"/>
      <c r="K24" s="18"/>
      <c r="L24" s="18"/>
      <c r="M24" s="18"/>
      <c r="N24" s="18"/>
      <c r="O24" s="18"/>
    </row>
    <row r="25" spans="1:15" x14ac:dyDescent="0.75">
      <c r="A25" s="1" t="s">
        <v>389</v>
      </c>
      <c r="B25" s="3" t="b">
        <v>1</v>
      </c>
      <c r="C25" s="3" t="b">
        <v>0</v>
      </c>
      <c r="D25" s="3" t="b">
        <v>0</v>
      </c>
      <c r="E25" s="3" t="b">
        <v>0</v>
      </c>
      <c r="F25" s="8" t="s">
        <v>488</v>
      </c>
      <c r="G25">
        <v>3</v>
      </c>
      <c r="I25" s="18"/>
      <c r="J25" s="18"/>
      <c r="K25" s="18"/>
      <c r="L25" s="18"/>
      <c r="M25" s="18"/>
      <c r="N25" s="18"/>
      <c r="O25" s="18"/>
    </row>
    <row r="26" spans="1:15" x14ac:dyDescent="0.75">
      <c r="A26" s="1" t="s">
        <v>405</v>
      </c>
      <c r="B26" s="3" t="b">
        <v>1</v>
      </c>
      <c r="C26" s="3" t="b">
        <v>0</v>
      </c>
      <c r="D26" s="3" t="b">
        <v>0</v>
      </c>
      <c r="E26" s="3" t="b">
        <v>0</v>
      </c>
      <c r="F26" s="8" t="s">
        <v>488</v>
      </c>
      <c r="G26">
        <v>3</v>
      </c>
      <c r="I26" s="18"/>
      <c r="J26" s="18"/>
      <c r="K26" s="18"/>
      <c r="L26" s="18"/>
      <c r="M26" s="18"/>
      <c r="N26" s="18"/>
      <c r="O26" s="18"/>
    </row>
    <row r="27" spans="1:15" ht="29.5" x14ac:dyDescent="0.75">
      <c r="A27" s="1" t="s">
        <v>410</v>
      </c>
      <c r="B27" s="3" t="b">
        <v>0</v>
      </c>
      <c r="C27" s="3" t="b">
        <v>0</v>
      </c>
      <c r="D27" s="3" t="b">
        <v>1</v>
      </c>
      <c r="E27" s="3" t="b">
        <v>0</v>
      </c>
      <c r="F27" s="8" t="s">
        <v>505</v>
      </c>
      <c r="G27">
        <v>2</v>
      </c>
    </row>
    <row r="28" spans="1:15" ht="59" x14ac:dyDescent="0.75">
      <c r="A28" s="1" t="s">
        <v>473</v>
      </c>
      <c r="B28" s="3" t="b">
        <v>1</v>
      </c>
      <c r="C28" s="3" t="b">
        <v>0</v>
      </c>
      <c r="D28" s="3" t="b">
        <v>0</v>
      </c>
      <c r="E28" s="3" t="b">
        <v>0</v>
      </c>
      <c r="F28" s="8" t="s">
        <v>488</v>
      </c>
      <c r="G28">
        <v>3</v>
      </c>
      <c r="I28" t="s">
        <v>496</v>
      </c>
      <c r="J28" t="s">
        <v>498</v>
      </c>
    </row>
    <row r="29" spans="1:15" ht="29.5" x14ac:dyDescent="0.75">
      <c r="A29" s="16" t="s">
        <v>474</v>
      </c>
      <c r="B29" s="3" t="b">
        <v>0</v>
      </c>
      <c r="C29" s="3" t="s">
        <v>529</v>
      </c>
      <c r="D29" s="3" t="b">
        <v>0</v>
      </c>
      <c r="E29" s="3" t="b">
        <v>0</v>
      </c>
      <c r="F29" s="8" t="s">
        <v>488</v>
      </c>
      <c r="G29">
        <v>2</v>
      </c>
      <c r="I29" t="s">
        <v>497</v>
      </c>
      <c r="K29" s="10" t="s">
        <v>499</v>
      </c>
      <c r="N29" t="s">
        <v>500</v>
      </c>
    </row>
    <row r="30" spans="1:15" x14ac:dyDescent="0.75">
      <c r="B30" s="3" t="b">
        <v>0</v>
      </c>
      <c r="C30" s="3" t="b">
        <v>0</v>
      </c>
      <c r="D30" s="3" t="b">
        <v>0</v>
      </c>
      <c r="E30" s="3" t="b">
        <v>0</v>
      </c>
      <c r="F30" s="8"/>
      <c r="I30" t="s">
        <v>477</v>
      </c>
      <c r="K30" t="s">
        <v>501</v>
      </c>
    </row>
    <row r="31" spans="1:15" x14ac:dyDescent="0.75">
      <c r="B31" s="3" t="b">
        <v>0</v>
      </c>
      <c r="C31" s="3" t="b">
        <v>0</v>
      </c>
      <c r="D31" s="3" t="b">
        <v>0</v>
      </c>
      <c r="E31" s="3" t="b">
        <v>0</v>
      </c>
      <c r="F31" s="8"/>
    </row>
    <row r="32" spans="1:15" x14ac:dyDescent="0.75">
      <c r="B32" s="3" t="b">
        <v>0</v>
      </c>
      <c r="C32" s="3" t="b">
        <v>0</v>
      </c>
      <c r="D32" s="3" t="b">
        <v>0</v>
      </c>
      <c r="E32" s="3" t="b">
        <v>0</v>
      </c>
      <c r="F32" s="8"/>
    </row>
    <row r="34" spans="2:6" x14ac:dyDescent="0.75">
      <c r="B34">
        <f>COUNTIF(B3:B31, TRUE)</f>
        <v>14</v>
      </c>
      <c r="C34">
        <f t="shared" ref="C34:E34" si="0">COUNTIF(C3:C31, TRUE)</f>
        <v>3</v>
      </c>
      <c r="D34">
        <f t="shared" si="0"/>
        <v>6</v>
      </c>
      <c r="E34">
        <f t="shared" si="0"/>
        <v>1</v>
      </c>
      <c r="F34" s="8">
        <f>SUM(B34:E34)</f>
        <v>24</v>
      </c>
    </row>
  </sheetData>
  <mergeCells count="1">
    <mergeCell ref="I3:O26"/>
  </mergeCells>
  <conditionalFormatting sqref="G3:G29">
    <cfRule type="cellIs" dxfId="4" priority="1" operator="lessThan">
      <formul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27C3C-CF75-4953-926C-EC48DE9976A3}">
  <dimension ref="A1:O34"/>
  <sheetViews>
    <sheetView workbookViewId="0">
      <selection activeCell="A4" sqref="A4"/>
    </sheetView>
  </sheetViews>
  <sheetFormatPr defaultRowHeight="14.75" x14ac:dyDescent="0.75"/>
  <cols>
    <col min="1" max="1" width="62.7265625" customWidth="1"/>
    <col min="6" max="6" width="42.54296875" customWidth="1"/>
  </cols>
  <sheetData>
    <row r="1" spans="1:15" x14ac:dyDescent="0.75">
      <c r="A1" s="14" t="s">
        <v>6</v>
      </c>
      <c r="B1" s="14"/>
      <c r="C1" s="14"/>
      <c r="D1" s="14"/>
      <c r="E1" s="14"/>
      <c r="F1" s="15" t="s">
        <v>483</v>
      </c>
      <c r="G1" s="14" t="s">
        <v>484</v>
      </c>
    </row>
    <row r="2" spans="1:15" x14ac:dyDescent="0.75">
      <c r="A2" s="14" t="s">
        <v>439</v>
      </c>
      <c r="B2" s="14" t="s">
        <v>477</v>
      </c>
      <c r="C2" s="14" t="s">
        <v>485</v>
      </c>
      <c r="D2" s="14" t="s">
        <v>486</v>
      </c>
      <c r="E2" s="14" t="s">
        <v>487</v>
      </c>
      <c r="F2" s="15"/>
      <c r="G2" s="14"/>
    </row>
    <row r="3" spans="1:15" x14ac:dyDescent="0.75">
      <c r="A3" s="5" t="s">
        <v>43</v>
      </c>
      <c r="B3" s="3" t="b">
        <v>0</v>
      </c>
      <c r="C3" s="3" t="b">
        <v>0</v>
      </c>
      <c r="D3" s="3" t="b">
        <v>0</v>
      </c>
      <c r="E3" s="3" t="b">
        <v>0</v>
      </c>
      <c r="F3" s="8"/>
      <c r="I3" s="18" t="s">
        <v>14</v>
      </c>
      <c r="J3" s="18"/>
      <c r="K3" s="18"/>
      <c r="L3" s="18"/>
      <c r="M3" s="18"/>
      <c r="N3" s="18"/>
      <c r="O3" s="18"/>
    </row>
    <row r="4" spans="1:15" ht="29.5" x14ac:dyDescent="0.75">
      <c r="A4" s="1" t="s">
        <v>55</v>
      </c>
      <c r="B4" s="3" t="b">
        <v>1</v>
      </c>
      <c r="C4" s="3" t="b">
        <v>0</v>
      </c>
      <c r="D4" s="3" t="b">
        <v>0</v>
      </c>
      <c r="E4" s="3" t="b">
        <v>0</v>
      </c>
      <c r="F4" s="8" t="s">
        <v>488</v>
      </c>
      <c r="G4">
        <v>3</v>
      </c>
      <c r="I4" s="18"/>
      <c r="J4" s="18"/>
      <c r="K4" s="18"/>
      <c r="L4" s="18"/>
      <c r="M4" s="18"/>
      <c r="N4" s="18"/>
      <c r="O4" s="18"/>
    </row>
    <row r="5" spans="1:15" ht="29.5" x14ac:dyDescent="0.75">
      <c r="A5" s="1" t="s">
        <v>92</v>
      </c>
      <c r="B5" s="3" t="b">
        <v>1</v>
      </c>
      <c r="C5" s="3" t="b">
        <v>0</v>
      </c>
      <c r="D5" s="3" t="b">
        <v>0</v>
      </c>
      <c r="E5" s="3" t="b">
        <v>0</v>
      </c>
      <c r="F5" s="8" t="s">
        <v>488</v>
      </c>
      <c r="G5">
        <v>3</v>
      </c>
      <c r="I5" s="18"/>
      <c r="J5" s="18"/>
      <c r="K5" s="18"/>
      <c r="L5" s="18"/>
      <c r="M5" s="18"/>
      <c r="N5" s="18"/>
      <c r="O5" s="18"/>
    </row>
    <row r="6" spans="1:15" x14ac:dyDescent="0.75">
      <c r="A6" s="1" t="s">
        <v>101</v>
      </c>
      <c r="B6" s="3" t="b">
        <v>0</v>
      </c>
      <c r="C6" s="3" t="b">
        <v>1</v>
      </c>
      <c r="D6" s="3" t="b">
        <v>0</v>
      </c>
      <c r="E6" s="3" t="b">
        <v>0</v>
      </c>
      <c r="F6" s="8" t="s">
        <v>530</v>
      </c>
      <c r="G6">
        <v>2</v>
      </c>
      <c r="I6" s="18"/>
      <c r="J6" s="18"/>
      <c r="K6" s="18"/>
      <c r="L6" s="18"/>
      <c r="M6" s="18"/>
      <c r="N6" s="18"/>
      <c r="O6" s="18"/>
    </row>
    <row r="7" spans="1:15" x14ac:dyDescent="0.75">
      <c r="A7" s="1" t="s">
        <v>106</v>
      </c>
      <c r="B7" s="3" t="b">
        <v>1</v>
      </c>
      <c r="C7" s="3" t="b">
        <v>0</v>
      </c>
      <c r="D7" s="3" t="b">
        <v>0</v>
      </c>
      <c r="E7" s="3" t="b">
        <v>0</v>
      </c>
      <c r="F7" s="8" t="s">
        <v>488</v>
      </c>
      <c r="G7">
        <v>3</v>
      </c>
      <c r="I7" s="18"/>
      <c r="J7" s="18"/>
      <c r="K7" s="18"/>
      <c r="L7" s="18"/>
      <c r="M7" s="18"/>
      <c r="N7" s="18"/>
      <c r="O7" s="18"/>
    </row>
    <row r="8" spans="1:15" x14ac:dyDescent="0.75">
      <c r="A8" s="1" t="s">
        <v>138</v>
      </c>
      <c r="B8" s="3" t="b">
        <v>0</v>
      </c>
      <c r="C8" s="3" t="b">
        <v>0</v>
      </c>
      <c r="D8" s="3" t="b">
        <v>1</v>
      </c>
      <c r="E8" s="3" t="b">
        <v>0</v>
      </c>
      <c r="F8" s="8" t="s">
        <v>489</v>
      </c>
      <c r="G8">
        <v>3</v>
      </c>
      <c r="I8" s="18"/>
      <c r="J8" s="18"/>
      <c r="K8" s="18"/>
      <c r="L8" s="18"/>
      <c r="M8" s="18"/>
      <c r="N8" s="18"/>
      <c r="O8" s="18"/>
    </row>
    <row r="9" spans="1:15" ht="44.25" x14ac:dyDescent="0.75">
      <c r="A9" s="1" t="s">
        <v>142</v>
      </c>
      <c r="B9" s="3" t="b">
        <v>1</v>
      </c>
      <c r="C9" s="3" t="b">
        <v>0</v>
      </c>
      <c r="D9" s="3" t="b">
        <v>0</v>
      </c>
      <c r="E9" s="3" t="b">
        <v>0</v>
      </c>
      <c r="F9" s="8" t="s">
        <v>488</v>
      </c>
      <c r="G9">
        <v>3</v>
      </c>
      <c r="I9" s="18"/>
      <c r="J9" s="18"/>
      <c r="K9" s="18"/>
      <c r="L9" s="18"/>
      <c r="M9" s="18"/>
      <c r="N9" s="18"/>
      <c r="O9" s="18"/>
    </row>
    <row r="10" spans="1:15" x14ac:dyDescent="0.75">
      <c r="A10" s="1" t="s">
        <v>147</v>
      </c>
      <c r="B10" s="3" t="b">
        <v>0</v>
      </c>
      <c r="C10" s="3" t="b">
        <v>1</v>
      </c>
      <c r="D10" s="3" t="b">
        <v>0</v>
      </c>
      <c r="E10" s="3" t="b">
        <v>0</v>
      </c>
      <c r="F10" s="8" t="s">
        <v>530</v>
      </c>
      <c r="G10">
        <v>2</v>
      </c>
      <c r="I10" s="18"/>
      <c r="J10" s="18"/>
      <c r="K10" s="18"/>
      <c r="L10" s="18"/>
      <c r="M10" s="18"/>
      <c r="N10" s="18"/>
      <c r="O10" s="18"/>
    </row>
    <row r="11" spans="1:15" ht="29.5" x14ac:dyDescent="0.75">
      <c r="A11" s="1" t="s">
        <v>152</v>
      </c>
      <c r="B11" s="3" t="b">
        <v>1</v>
      </c>
      <c r="C11" s="3" t="b">
        <v>0</v>
      </c>
      <c r="D11" s="3" t="b">
        <v>0</v>
      </c>
      <c r="E11" s="3" t="b">
        <v>0</v>
      </c>
      <c r="F11" s="8" t="s">
        <v>488</v>
      </c>
      <c r="G11">
        <v>3</v>
      </c>
      <c r="I11" s="18"/>
      <c r="J11" s="18"/>
      <c r="K11" s="18"/>
      <c r="L11" s="18"/>
      <c r="M11" s="18"/>
      <c r="N11" s="18"/>
      <c r="O11" s="18"/>
    </row>
    <row r="12" spans="1:15" x14ac:dyDescent="0.75">
      <c r="A12" s="1" t="s">
        <v>175</v>
      </c>
      <c r="B12" s="3" t="b">
        <v>0</v>
      </c>
      <c r="C12" s="3" t="b">
        <v>1</v>
      </c>
      <c r="D12" s="3" t="b">
        <v>0</v>
      </c>
      <c r="E12" s="3" t="b">
        <v>0</v>
      </c>
      <c r="F12" s="8" t="s">
        <v>530</v>
      </c>
      <c r="G12">
        <v>3</v>
      </c>
      <c r="I12" s="18"/>
      <c r="J12" s="18"/>
      <c r="K12" s="18"/>
      <c r="L12" s="18"/>
      <c r="M12" s="18"/>
      <c r="N12" s="18"/>
      <c r="O12" s="18"/>
    </row>
    <row r="13" spans="1:15" x14ac:dyDescent="0.75">
      <c r="A13" s="1" t="s">
        <v>178</v>
      </c>
      <c r="B13" s="3" t="b">
        <v>0</v>
      </c>
      <c r="C13" s="3" t="b">
        <v>1</v>
      </c>
      <c r="D13" s="3" t="b">
        <v>0</v>
      </c>
      <c r="E13" s="3" t="b">
        <v>0</v>
      </c>
      <c r="F13" s="8" t="s">
        <v>530</v>
      </c>
      <c r="G13">
        <v>2</v>
      </c>
      <c r="I13" s="18"/>
      <c r="J13" s="18"/>
      <c r="K13" s="18"/>
      <c r="L13" s="18"/>
      <c r="M13" s="18"/>
      <c r="N13" s="18"/>
      <c r="O13" s="18"/>
    </row>
    <row r="14" spans="1:15" x14ac:dyDescent="0.75">
      <c r="A14" s="1" t="s">
        <v>194</v>
      </c>
      <c r="B14" s="3" t="b">
        <v>1</v>
      </c>
      <c r="C14" s="3" t="b">
        <v>0</v>
      </c>
      <c r="D14" s="3" t="b">
        <v>0</v>
      </c>
      <c r="E14" s="3" t="b">
        <v>0</v>
      </c>
      <c r="F14" s="8" t="s">
        <v>488</v>
      </c>
      <c r="G14">
        <v>3</v>
      </c>
      <c r="I14" s="18"/>
      <c r="J14" s="18"/>
      <c r="K14" s="18"/>
      <c r="L14" s="18"/>
      <c r="M14" s="18"/>
      <c r="N14" s="18"/>
      <c r="O14" s="18"/>
    </row>
    <row r="15" spans="1:15" x14ac:dyDescent="0.75">
      <c r="A15" s="1" t="s">
        <v>201</v>
      </c>
      <c r="B15" s="3" t="b">
        <v>1</v>
      </c>
      <c r="C15" s="3" t="b">
        <v>0</v>
      </c>
      <c r="D15" s="3" t="b">
        <v>0</v>
      </c>
      <c r="E15" s="3" t="b">
        <v>0</v>
      </c>
      <c r="F15" s="8" t="s">
        <v>488</v>
      </c>
      <c r="G15">
        <v>3</v>
      </c>
      <c r="I15" s="18"/>
      <c r="J15" s="18"/>
      <c r="K15" s="18"/>
      <c r="L15" s="18"/>
      <c r="M15" s="18"/>
      <c r="N15" s="18"/>
      <c r="O15" s="18"/>
    </row>
    <row r="16" spans="1:15" x14ac:dyDescent="0.75">
      <c r="A16" s="1" t="s">
        <v>213</v>
      </c>
      <c r="B16" s="3" t="b">
        <v>0</v>
      </c>
      <c r="C16" s="3" t="b">
        <v>0</v>
      </c>
      <c r="D16" s="3" t="b">
        <v>1</v>
      </c>
      <c r="E16" s="3" t="b">
        <v>0</v>
      </c>
      <c r="F16" s="8" t="s">
        <v>489</v>
      </c>
      <c r="G16">
        <v>3</v>
      </c>
      <c r="I16" s="18"/>
      <c r="J16" s="18"/>
      <c r="K16" s="18"/>
      <c r="L16" s="18"/>
      <c r="M16" s="18"/>
      <c r="N16" s="18"/>
      <c r="O16" s="18"/>
    </row>
    <row r="17" spans="1:15" x14ac:dyDescent="0.75">
      <c r="A17" s="1" t="s">
        <v>224</v>
      </c>
      <c r="B17" s="3" t="b">
        <v>1</v>
      </c>
      <c r="C17" s="3" t="b">
        <v>0</v>
      </c>
      <c r="D17" s="3" t="b">
        <v>0</v>
      </c>
      <c r="E17" s="3" t="b">
        <v>0</v>
      </c>
      <c r="F17" s="8" t="s">
        <v>488</v>
      </c>
      <c r="G17">
        <v>3</v>
      </c>
      <c r="I17" s="18"/>
      <c r="J17" s="18"/>
      <c r="K17" s="18"/>
      <c r="L17" s="18"/>
      <c r="M17" s="18"/>
      <c r="N17" s="18"/>
      <c r="O17" s="18"/>
    </row>
    <row r="18" spans="1:15" x14ac:dyDescent="0.75">
      <c r="A18" s="1" t="s">
        <v>233</v>
      </c>
      <c r="B18" s="3" t="b">
        <v>0</v>
      </c>
      <c r="C18" s="3" t="b">
        <v>0</v>
      </c>
      <c r="D18" s="3" t="b">
        <v>1</v>
      </c>
      <c r="E18" s="3" t="b">
        <v>0</v>
      </c>
      <c r="F18" s="8" t="s">
        <v>489</v>
      </c>
      <c r="G18">
        <v>3</v>
      </c>
      <c r="I18" s="18"/>
      <c r="J18" s="18"/>
      <c r="K18" s="18"/>
      <c r="L18" s="18"/>
      <c r="M18" s="18"/>
      <c r="N18" s="18"/>
      <c r="O18" s="18"/>
    </row>
    <row r="19" spans="1:15" x14ac:dyDescent="0.75">
      <c r="A19" s="16" t="s">
        <v>277</v>
      </c>
      <c r="B19" s="3" t="b">
        <v>0</v>
      </c>
      <c r="C19" s="3" t="b">
        <v>0</v>
      </c>
      <c r="D19" s="3" t="s">
        <v>532</v>
      </c>
      <c r="E19" s="3" t="b">
        <v>0</v>
      </c>
      <c r="F19" s="11" t="s">
        <v>489</v>
      </c>
      <c r="G19">
        <v>3</v>
      </c>
      <c r="I19" s="18"/>
      <c r="J19" s="18"/>
      <c r="K19" s="18"/>
      <c r="L19" s="18"/>
      <c r="M19" s="18"/>
      <c r="N19" s="18"/>
      <c r="O19" s="18"/>
    </row>
    <row r="20" spans="1:15" ht="29.5" x14ac:dyDescent="0.75">
      <c r="A20" s="1" t="s">
        <v>329</v>
      </c>
      <c r="B20" s="3" t="b">
        <v>1</v>
      </c>
      <c r="C20" s="3" t="b">
        <v>0</v>
      </c>
      <c r="D20" s="3" t="b">
        <v>0</v>
      </c>
      <c r="E20" s="3" t="b">
        <v>0</v>
      </c>
      <c r="F20" s="8" t="s">
        <v>488</v>
      </c>
      <c r="G20">
        <v>3</v>
      </c>
      <c r="I20" s="18"/>
      <c r="J20" s="18"/>
      <c r="K20" s="18"/>
      <c r="L20" s="18"/>
      <c r="M20" s="18"/>
      <c r="N20" s="18"/>
      <c r="O20" s="18"/>
    </row>
    <row r="21" spans="1:15" x14ac:dyDescent="0.75">
      <c r="A21" s="1" t="s">
        <v>356</v>
      </c>
      <c r="B21" s="3" t="b">
        <v>1</v>
      </c>
      <c r="C21" s="3" t="b">
        <v>0</v>
      </c>
      <c r="D21" s="3" t="b">
        <v>0</v>
      </c>
      <c r="E21" s="3" t="b">
        <v>0</v>
      </c>
      <c r="F21" s="8" t="s">
        <v>488</v>
      </c>
      <c r="G21">
        <v>3</v>
      </c>
      <c r="I21" s="18"/>
      <c r="J21" s="18"/>
      <c r="K21" s="18"/>
      <c r="L21" s="18"/>
      <c r="M21" s="18"/>
      <c r="N21" s="18"/>
      <c r="O21" s="18"/>
    </row>
    <row r="22" spans="1:15" ht="44.25" x14ac:dyDescent="0.75">
      <c r="A22" s="1" t="s">
        <v>368</v>
      </c>
      <c r="B22" s="3" t="b">
        <v>1</v>
      </c>
      <c r="C22" s="3" t="b">
        <v>0</v>
      </c>
      <c r="D22" s="3" t="b">
        <v>0</v>
      </c>
      <c r="E22" s="3" t="b">
        <v>0</v>
      </c>
      <c r="F22" s="8" t="s">
        <v>488</v>
      </c>
      <c r="G22">
        <v>3</v>
      </c>
      <c r="I22" s="18"/>
      <c r="J22" s="18"/>
      <c r="K22" s="18"/>
      <c r="L22" s="18"/>
      <c r="M22" s="18"/>
      <c r="N22" s="18"/>
      <c r="O22" s="18"/>
    </row>
    <row r="23" spans="1:15" ht="29.5" x14ac:dyDescent="0.75">
      <c r="A23" s="1" t="s">
        <v>372</v>
      </c>
      <c r="B23" s="3" t="b">
        <v>0</v>
      </c>
      <c r="C23" s="3" t="b">
        <v>0</v>
      </c>
      <c r="D23" s="3" t="b">
        <v>1</v>
      </c>
      <c r="E23" s="3" t="b">
        <v>0</v>
      </c>
      <c r="F23" s="8" t="s">
        <v>531</v>
      </c>
      <c r="G23">
        <v>3</v>
      </c>
      <c r="I23" s="18"/>
      <c r="J23" s="18"/>
      <c r="K23" s="18"/>
      <c r="L23" s="18"/>
      <c r="M23" s="18"/>
      <c r="N23" s="18"/>
      <c r="O23" s="18"/>
    </row>
    <row r="24" spans="1:15" ht="29.5" x14ac:dyDescent="0.75">
      <c r="A24" s="1" t="s">
        <v>383</v>
      </c>
      <c r="B24" s="3" t="b">
        <v>1</v>
      </c>
      <c r="C24" s="3" t="b">
        <v>0</v>
      </c>
      <c r="D24" s="3" t="b">
        <v>0</v>
      </c>
      <c r="E24" s="3" t="b">
        <v>0</v>
      </c>
      <c r="F24" s="8" t="s">
        <v>488</v>
      </c>
      <c r="G24">
        <v>3</v>
      </c>
      <c r="I24" s="18"/>
      <c r="J24" s="18"/>
      <c r="K24" s="18"/>
      <c r="L24" s="18"/>
      <c r="M24" s="18"/>
      <c r="N24" s="18"/>
      <c r="O24" s="18"/>
    </row>
    <row r="25" spans="1:15" x14ac:dyDescent="0.75">
      <c r="A25" s="1" t="s">
        <v>385</v>
      </c>
      <c r="B25" s="3" t="b">
        <v>1</v>
      </c>
      <c r="C25" s="3" t="b">
        <v>0</v>
      </c>
      <c r="D25" s="3" t="b">
        <v>0</v>
      </c>
      <c r="E25" s="3" t="b">
        <v>0</v>
      </c>
      <c r="F25" s="8" t="s">
        <v>488</v>
      </c>
      <c r="G25">
        <v>3</v>
      </c>
      <c r="I25" s="18"/>
      <c r="J25" s="18"/>
      <c r="K25" s="18"/>
      <c r="L25" s="18"/>
      <c r="M25" s="18"/>
      <c r="N25" s="18"/>
      <c r="O25" s="18"/>
    </row>
    <row r="26" spans="1:15" ht="29.5" x14ac:dyDescent="0.75">
      <c r="A26" s="1" t="s">
        <v>419</v>
      </c>
      <c r="B26" s="3" t="b">
        <v>0</v>
      </c>
      <c r="C26" s="3" t="b">
        <v>0</v>
      </c>
      <c r="D26" s="3" t="b">
        <v>1</v>
      </c>
      <c r="E26" s="3" t="b">
        <v>0</v>
      </c>
      <c r="F26" s="8" t="s">
        <v>489</v>
      </c>
      <c r="G26">
        <v>3</v>
      </c>
      <c r="I26" s="18"/>
      <c r="J26" s="18"/>
      <c r="K26" s="18"/>
      <c r="L26" s="18"/>
      <c r="M26" s="18"/>
      <c r="N26" s="18"/>
      <c r="O26" s="18"/>
    </row>
    <row r="27" spans="1:15" ht="88.5" x14ac:dyDescent="0.75">
      <c r="A27" s="1" t="s">
        <v>424</v>
      </c>
      <c r="B27" s="3" t="b">
        <v>1</v>
      </c>
      <c r="C27" s="3" t="b">
        <v>0</v>
      </c>
      <c r="D27" s="3" t="b">
        <v>0</v>
      </c>
      <c r="E27" s="3" t="b">
        <v>0</v>
      </c>
      <c r="F27" s="8" t="s">
        <v>488</v>
      </c>
      <c r="G27">
        <v>3</v>
      </c>
      <c r="I27" t="s">
        <v>496</v>
      </c>
      <c r="J27" t="s">
        <v>506</v>
      </c>
    </row>
    <row r="28" spans="1:15" x14ac:dyDescent="0.75">
      <c r="A28" s="16" t="s">
        <v>469</v>
      </c>
      <c r="B28" s="3" t="b">
        <v>0</v>
      </c>
      <c r="C28" s="3" t="b">
        <v>0</v>
      </c>
      <c r="D28" s="3" t="s">
        <v>532</v>
      </c>
      <c r="E28" s="3" t="b">
        <v>0</v>
      </c>
      <c r="F28" s="8" t="s">
        <v>489</v>
      </c>
      <c r="G28">
        <v>2</v>
      </c>
      <c r="I28" t="s">
        <v>497</v>
      </c>
      <c r="K28" t="s">
        <v>507</v>
      </c>
    </row>
    <row r="29" spans="1:15" ht="29.5" x14ac:dyDescent="0.75">
      <c r="A29" s="1" t="s">
        <v>470</v>
      </c>
      <c r="B29" s="3" t="b">
        <v>1</v>
      </c>
      <c r="C29" s="3" t="b">
        <v>0</v>
      </c>
      <c r="D29" s="3" t="b">
        <v>0</v>
      </c>
      <c r="E29" s="3" t="b">
        <v>0</v>
      </c>
      <c r="F29" s="8" t="s">
        <v>488</v>
      </c>
      <c r="G29">
        <v>3</v>
      </c>
      <c r="I29" t="s">
        <v>477</v>
      </c>
      <c r="J29" t="s">
        <v>508</v>
      </c>
    </row>
    <row r="30" spans="1:15" x14ac:dyDescent="0.75">
      <c r="F30" s="8"/>
      <c r="J30" t="s">
        <v>509</v>
      </c>
    </row>
    <row r="31" spans="1:15" x14ac:dyDescent="0.75">
      <c r="F31" s="8"/>
    </row>
    <row r="32" spans="1:15" x14ac:dyDescent="0.75">
      <c r="F32" s="8"/>
    </row>
    <row r="33" spans="2:6" x14ac:dyDescent="0.75">
      <c r="F33" s="8"/>
    </row>
    <row r="34" spans="2:6" x14ac:dyDescent="0.75">
      <c r="B34">
        <f>COUNTIF(B3:B31, TRUE)</f>
        <v>15</v>
      </c>
      <c r="C34">
        <f t="shared" ref="C34:E34" si="0">COUNTIF(C3:C31, TRUE)</f>
        <v>4</v>
      </c>
      <c r="D34">
        <f t="shared" si="0"/>
        <v>5</v>
      </c>
      <c r="E34">
        <f t="shared" si="0"/>
        <v>0</v>
      </c>
      <c r="F34" s="8">
        <f>SUM(B34:E35)</f>
        <v>24</v>
      </c>
    </row>
  </sheetData>
  <mergeCells count="1">
    <mergeCell ref="I3:O26"/>
  </mergeCells>
  <phoneticPr fontId="3" type="noConversion"/>
  <conditionalFormatting sqref="G3:G31">
    <cfRule type="cellIs" dxfId="3" priority="1" operator="lessThan">
      <formul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D3816-7BB1-47CF-809F-8CE1EE6068B3}">
  <dimension ref="A1:P34"/>
  <sheetViews>
    <sheetView workbookViewId="0">
      <selection activeCell="J29" sqref="J29:O33"/>
    </sheetView>
  </sheetViews>
  <sheetFormatPr defaultRowHeight="14.75" x14ac:dyDescent="0.75"/>
  <cols>
    <col min="2" max="2" width="75.26953125" customWidth="1"/>
    <col min="7" max="7" width="36.2265625" customWidth="1"/>
  </cols>
  <sheetData>
    <row r="1" spans="1:16" x14ac:dyDescent="0.75">
      <c r="A1" s="14"/>
      <c r="B1" s="14" t="s">
        <v>7</v>
      </c>
      <c r="C1" s="14"/>
      <c r="D1" s="14"/>
      <c r="E1" s="14"/>
      <c r="F1" s="14"/>
      <c r="G1" s="15" t="s">
        <v>483</v>
      </c>
      <c r="H1" s="14" t="s">
        <v>484</v>
      </c>
    </row>
    <row r="2" spans="1:16" x14ac:dyDescent="0.75">
      <c r="A2" s="14" t="s">
        <v>535</v>
      </c>
      <c r="B2" s="14" t="s">
        <v>440</v>
      </c>
      <c r="C2" s="14" t="s">
        <v>536</v>
      </c>
      <c r="D2" s="14" t="s">
        <v>485</v>
      </c>
      <c r="E2" s="14" t="s">
        <v>486</v>
      </c>
      <c r="F2" s="14" t="s">
        <v>487</v>
      </c>
      <c r="G2" s="15"/>
      <c r="H2" s="14"/>
    </row>
    <row r="3" spans="1:16" x14ac:dyDescent="0.75">
      <c r="B3" s="1" t="s">
        <v>59</v>
      </c>
      <c r="C3" s="3" t="b">
        <v>1</v>
      </c>
      <c r="D3" s="3" t="b">
        <v>0</v>
      </c>
      <c r="E3" s="3" t="b">
        <v>0</v>
      </c>
      <c r="F3" s="3" t="b">
        <v>0</v>
      </c>
      <c r="G3" s="8" t="s">
        <v>488</v>
      </c>
      <c r="H3">
        <v>3</v>
      </c>
      <c r="J3" s="18" t="s">
        <v>15</v>
      </c>
      <c r="K3" s="18"/>
      <c r="L3" s="18"/>
      <c r="M3" s="18"/>
      <c r="N3" s="18"/>
      <c r="O3" s="18"/>
      <c r="P3" s="18"/>
    </row>
    <row r="4" spans="1:16" ht="44.25" x14ac:dyDescent="0.75">
      <c r="A4" t="s">
        <v>537</v>
      </c>
      <c r="B4" s="16" t="s">
        <v>86</v>
      </c>
      <c r="C4" s="3" t="b">
        <v>0</v>
      </c>
      <c r="D4" s="3" t="b">
        <v>0</v>
      </c>
      <c r="E4" s="3" t="s">
        <v>532</v>
      </c>
      <c r="F4" s="3" t="b">
        <v>0</v>
      </c>
      <c r="G4" s="8" t="s">
        <v>512</v>
      </c>
      <c r="H4">
        <v>2</v>
      </c>
      <c r="J4" s="18"/>
      <c r="K4" s="18"/>
      <c r="L4" s="18"/>
      <c r="M4" s="18"/>
      <c r="N4" s="18"/>
      <c r="O4" s="18"/>
      <c r="P4" s="18"/>
    </row>
    <row r="5" spans="1:16" x14ac:dyDescent="0.75">
      <c r="B5" s="1" t="s">
        <v>118</v>
      </c>
      <c r="C5" s="3" t="b">
        <v>0</v>
      </c>
      <c r="D5" s="3" t="b">
        <v>0</v>
      </c>
      <c r="E5" s="3" t="b">
        <v>0</v>
      </c>
      <c r="F5" s="3" t="b">
        <v>1</v>
      </c>
      <c r="G5" s="8" t="s">
        <v>494</v>
      </c>
      <c r="H5">
        <v>3</v>
      </c>
      <c r="J5" s="18"/>
      <c r="K5" s="18"/>
      <c r="L5" s="18"/>
      <c r="M5" s="18"/>
      <c r="N5" s="18"/>
      <c r="O5" s="18"/>
      <c r="P5" s="18"/>
    </row>
    <row r="6" spans="1:16" x14ac:dyDescent="0.75">
      <c r="B6" s="1" t="s">
        <v>132</v>
      </c>
      <c r="C6" s="3" t="b">
        <v>0</v>
      </c>
      <c r="D6" s="3" t="b">
        <v>0</v>
      </c>
      <c r="E6" s="3" t="b">
        <v>1</v>
      </c>
      <c r="F6" s="3" t="b">
        <v>0</v>
      </c>
      <c r="G6" s="8" t="s">
        <v>489</v>
      </c>
      <c r="H6">
        <v>3</v>
      </c>
      <c r="J6" s="18"/>
      <c r="K6" s="18"/>
      <c r="L6" s="18"/>
      <c r="M6" s="18"/>
      <c r="N6" s="18"/>
      <c r="O6" s="18"/>
      <c r="P6" s="18"/>
    </row>
    <row r="7" spans="1:16" x14ac:dyDescent="0.75">
      <c r="B7" s="1" t="s">
        <v>140</v>
      </c>
      <c r="C7" s="3" t="b">
        <v>0</v>
      </c>
      <c r="D7" s="3" t="b">
        <v>0</v>
      </c>
      <c r="E7" s="3" t="b">
        <v>0</v>
      </c>
      <c r="F7" s="3" t="b">
        <v>1</v>
      </c>
      <c r="G7" s="8" t="s">
        <v>494</v>
      </c>
      <c r="H7">
        <v>3</v>
      </c>
      <c r="J7" s="18"/>
      <c r="K7" s="18"/>
      <c r="L7" s="18"/>
      <c r="M7" s="18"/>
      <c r="N7" s="18"/>
      <c r="O7" s="18"/>
      <c r="P7" s="18"/>
    </row>
    <row r="8" spans="1:16" ht="29.5" x14ac:dyDescent="0.75">
      <c r="B8" s="1" t="s">
        <v>145</v>
      </c>
      <c r="C8" s="3" t="b">
        <v>0</v>
      </c>
      <c r="D8" s="3" t="b">
        <v>0</v>
      </c>
      <c r="E8" s="3" t="b">
        <v>1</v>
      </c>
      <c r="F8" s="3" t="b">
        <v>0</v>
      </c>
      <c r="G8" s="8" t="s">
        <v>511</v>
      </c>
      <c r="H8">
        <v>2</v>
      </c>
      <c r="J8" s="18"/>
      <c r="K8" s="18"/>
      <c r="L8" s="18"/>
      <c r="M8" s="18"/>
      <c r="N8" s="18"/>
      <c r="O8" s="18"/>
      <c r="P8" s="18"/>
    </row>
    <row r="9" spans="1:16" ht="73.75" x14ac:dyDescent="0.75">
      <c r="B9" s="1" t="s">
        <v>162</v>
      </c>
      <c r="C9" s="3" t="b">
        <v>1</v>
      </c>
      <c r="D9" s="3" t="b">
        <v>0</v>
      </c>
      <c r="E9" s="3" t="b">
        <v>0</v>
      </c>
      <c r="F9" s="3" t="b">
        <v>0</v>
      </c>
      <c r="G9" s="8" t="s">
        <v>488</v>
      </c>
      <c r="H9">
        <v>2</v>
      </c>
      <c r="J9" s="18"/>
      <c r="K9" s="18"/>
      <c r="L9" s="18"/>
      <c r="M9" s="18"/>
      <c r="N9" s="18"/>
      <c r="O9" s="18"/>
      <c r="P9" s="18"/>
    </row>
    <row r="10" spans="1:16" x14ac:dyDescent="0.75">
      <c r="B10" s="1" t="s">
        <v>180</v>
      </c>
      <c r="C10" s="3" t="b">
        <v>0</v>
      </c>
      <c r="D10" s="3" t="b">
        <v>0</v>
      </c>
      <c r="E10" s="3" t="b">
        <v>1</v>
      </c>
      <c r="F10" s="3" t="b">
        <v>0</v>
      </c>
      <c r="G10" s="8" t="s">
        <v>489</v>
      </c>
      <c r="H10">
        <v>3</v>
      </c>
      <c r="J10" s="18"/>
      <c r="K10" s="18"/>
      <c r="L10" s="18"/>
      <c r="M10" s="18"/>
      <c r="N10" s="18"/>
      <c r="O10" s="18"/>
      <c r="P10" s="18"/>
    </row>
    <row r="11" spans="1:16" x14ac:dyDescent="0.75">
      <c r="B11" s="1" t="s">
        <v>203</v>
      </c>
      <c r="C11" s="3" t="b">
        <v>1</v>
      </c>
      <c r="D11" s="3" t="b">
        <v>0</v>
      </c>
      <c r="E11" s="3" t="b">
        <v>0</v>
      </c>
      <c r="F11" s="3" t="b">
        <v>0</v>
      </c>
      <c r="G11" s="8" t="s">
        <v>488</v>
      </c>
      <c r="H11">
        <v>3</v>
      </c>
      <c r="J11" s="18"/>
      <c r="K11" s="18"/>
      <c r="L11" s="18"/>
      <c r="M11" s="18"/>
      <c r="N11" s="18"/>
      <c r="O11" s="18"/>
      <c r="P11" s="18"/>
    </row>
    <row r="12" spans="1:16" x14ac:dyDescent="0.75">
      <c r="B12" s="1" t="s">
        <v>236</v>
      </c>
      <c r="C12" s="3" t="b">
        <v>1</v>
      </c>
      <c r="D12" s="3" t="b">
        <v>0</v>
      </c>
      <c r="E12" s="3" t="b">
        <v>0</v>
      </c>
      <c r="F12" s="3" t="b">
        <v>0</v>
      </c>
      <c r="G12" s="8" t="s">
        <v>488</v>
      </c>
      <c r="H12">
        <v>3</v>
      </c>
      <c r="J12" s="18"/>
      <c r="K12" s="18"/>
      <c r="L12" s="18"/>
      <c r="M12" s="18"/>
      <c r="N12" s="18"/>
      <c r="O12" s="18"/>
      <c r="P12" s="18"/>
    </row>
    <row r="13" spans="1:16" x14ac:dyDescent="0.75">
      <c r="B13" s="1" t="s">
        <v>240</v>
      </c>
      <c r="C13" s="3" t="b">
        <v>1</v>
      </c>
      <c r="D13" s="3" t="b">
        <v>0</v>
      </c>
      <c r="E13" s="3" t="b">
        <v>0</v>
      </c>
      <c r="F13" s="3" t="b">
        <v>0</v>
      </c>
      <c r="G13" s="8" t="s">
        <v>488</v>
      </c>
      <c r="H13">
        <v>3</v>
      </c>
      <c r="J13" s="18"/>
      <c r="K13" s="18"/>
      <c r="L13" s="18"/>
      <c r="M13" s="18"/>
      <c r="N13" s="18"/>
      <c r="O13" s="18"/>
      <c r="P13" s="18"/>
    </row>
    <row r="14" spans="1:16" x14ac:dyDescent="0.75">
      <c r="B14" s="1" t="s">
        <v>260</v>
      </c>
      <c r="C14" s="3" t="b">
        <v>0</v>
      </c>
      <c r="D14" s="3" t="b">
        <v>0</v>
      </c>
      <c r="E14" s="3" t="b">
        <v>1</v>
      </c>
      <c r="F14" s="3" t="b">
        <v>0</v>
      </c>
      <c r="G14" s="8" t="s">
        <v>489</v>
      </c>
      <c r="H14">
        <v>2</v>
      </c>
      <c r="J14" s="18"/>
      <c r="K14" s="18"/>
      <c r="L14" s="18"/>
      <c r="M14" s="18"/>
      <c r="N14" s="18"/>
      <c r="O14" s="18"/>
      <c r="P14" s="18"/>
    </row>
    <row r="15" spans="1:16" ht="29.5" x14ac:dyDescent="0.75">
      <c r="A15" t="s">
        <v>537</v>
      </c>
      <c r="B15" s="16" t="s">
        <v>268</v>
      </c>
      <c r="C15" s="3" t="b">
        <v>0</v>
      </c>
      <c r="D15" s="3" t="s">
        <v>529</v>
      </c>
      <c r="E15" s="3" t="b">
        <v>0</v>
      </c>
      <c r="F15" s="3" t="b">
        <v>0</v>
      </c>
      <c r="G15" s="8" t="s">
        <v>513</v>
      </c>
      <c r="H15">
        <v>2</v>
      </c>
      <c r="J15" s="18"/>
      <c r="K15" s="18"/>
      <c r="L15" s="18"/>
      <c r="M15" s="18"/>
      <c r="N15" s="18"/>
      <c r="O15" s="18"/>
      <c r="P15" s="18"/>
    </row>
    <row r="16" spans="1:16" x14ac:dyDescent="0.75">
      <c r="B16" s="1" t="s">
        <v>275</v>
      </c>
      <c r="C16" s="3" t="b">
        <v>1</v>
      </c>
      <c r="D16" s="3" t="b">
        <v>0</v>
      </c>
      <c r="E16" s="3" t="b">
        <v>0</v>
      </c>
      <c r="F16" s="3" t="b">
        <v>0</v>
      </c>
      <c r="G16" s="8" t="s">
        <v>488</v>
      </c>
      <c r="H16">
        <v>3</v>
      </c>
      <c r="J16" s="18"/>
      <c r="K16" s="18"/>
      <c r="L16" s="18"/>
      <c r="M16" s="18"/>
      <c r="N16" s="18"/>
      <c r="O16" s="18"/>
      <c r="P16" s="18"/>
    </row>
    <row r="17" spans="1:16" x14ac:dyDescent="0.75">
      <c r="B17" s="1" t="s">
        <v>280</v>
      </c>
      <c r="C17" s="3" t="b">
        <v>1</v>
      </c>
      <c r="D17" s="3" t="b">
        <v>0</v>
      </c>
      <c r="E17" s="3" t="b">
        <v>0</v>
      </c>
      <c r="F17" s="3" t="b">
        <v>0</v>
      </c>
      <c r="G17" s="8" t="s">
        <v>488</v>
      </c>
      <c r="H17">
        <v>3</v>
      </c>
      <c r="J17" s="18"/>
      <c r="K17" s="18"/>
      <c r="L17" s="18"/>
      <c r="M17" s="18"/>
      <c r="N17" s="18"/>
      <c r="O17" s="18"/>
      <c r="P17" s="18"/>
    </row>
    <row r="18" spans="1:16" ht="29.5" x14ac:dyDescent="0.75">
      <c r="B18" s="1" t="s">
        <v>312</v>
      </c>
      <c r="C18" s="3" t="b">
        <v>0</v>
      </c>
      <c r="D18" s="3" t="b">
        <v>1</v>
      </c>
      <c r="E18" s="3" t="b">
        <v>0</v>
      </c>
      <c r="F18" s="3" t="b">
        <v>0</v>
      </c>
      <c r="G18" s="8" t="s">
        <v>514</v>
      </c>
      <c r="H18">
        <v>2</v>
      </c>
      <c r="J18" s="18"/>
      <c r="K18" s="18"/>
      <c r="L18" s="18"/>
      <c r="M18" s="18"/>
      <c r="N18" s="18"/>
      <c r="O18" s="18"/>
      <c r="P18" s="18"/>
    </row>
    <row r="19" spans="1:16" x14ac:dyDescent="0.75">
      <c r="B19" s="1" t="s">
        <v>320</v>
      </c>
      <c r="C19" s="3" t="b">
        <v>0</v>
      </c>
      <c r="D19" s="3" t="b">
        <v>1</v>
      </c>
      <c r="E19" s="3" t="b">
        <v>0</v>
      </c>
      <c r="F19" s="3" t="b">
        <v>0</v>
      </c>
      <c r="G19" s="11" t="s">
        <v>515</v>
      </c>
      <c r="H19">
        <v>2</v>
      </c>
      <c r="J19" s="18"/>
      <c r="K19" s="18"/>
      <c r="L19" s="18"/>
      <c r="M19" s="18"/>
      <c r="N19" s="18"/>
      <c r="O19" s="18"/>
      <c r="P19" s="18"/>
    </row>
    <row r="20" spans="1:16" ht="29.5" x14ac:dyDescent="0.75">
      <c r="B20" s="1" t="s">
        <v>333</v>
      </c>
      <c r="C20" s="3" t="b">
        <v>1</v>
      </c>
      <c r="D20" s="3" t="b">
        <v>0</v>
      </c>
      <c r="E20" s="3" t="b">
        <v>0</v>
      </c>
      <c r="F20" s="3" t="b">
        <v>0</v>
      </c>
      <c r="G20" s="8" t="s">
        <v>488</v>
      </c>
      <c r="H20">
        <v>3</v>
      </c>
      <c r="J20" s="18"/>
      <c r="K20" s="18"/>
      <c r="L20" s="18"/>
      <c r="M20" s="18"/>
      <c r="N20" s="18"/>
      <c r="O20" s="18"/>
      <c r="P20" s="18"/>
    </row>
    <row r="21" spans="1:16" x14ac:dyDescent="0.75">
      <c r="B21" s="1" t="s">
        <v>337</v>
      </c>
      <c r="C21" s="3" t="b">
        <v>0</v>
      </c>
      <c r="D21" s="3" t="b">
        <v>1</v>
      </c>
      <c r="E21" s="3" t="b">
        <v>0</v>
      </c>
      <c r="F21" s="3" t="b">
        <v>0</v>
      </c>
      <c r="G21" s="8" t="s">
        <v>516</v>
      </c>
      <c r="H21">
        <v>2</v>
      </c>
      <c r="J21" s="18"/>
      <c r="K21" s="18"/>
      <c r="L21" s="18"/>
      <c r="M21" s="18"/>
      <c r="N21" s="18"/>
      <c r="O21" s="18"/>
      <c r="P21" s="18"/>
    </row>
    <row r="22" spans="1:16" x14ac:dyDescent="0.75">
      <c r="B22" s="1" t="s">
        <v>362</v>
      </c>
      <c r="C22" s="3" t="b">
        <v>0</v>
      </c>
      <c r="D22" s="3" t="b">
        <v>1</v>
      </c>
      <c r="E22" s="3" t="b">
        <v>0</v>
      </c>
      <c r="F22" s="3" t="b">
        <v>0</v>
      </c>
      <c r="G22" s="8" t="s">
        <v>516</v>
      </c>
      <c r="H22">
        <v>2</v>
      </c>
      <c r="J22" s="18"/>
      <c r="K22" s="18"/>
      <c r="L22" s="18"/>
      <c r="M22" s="18"/>
      <c r="N22" s="18"/>
      <c r="O22" s="18"/>
      <c r="P22" s="18"/>
    </row>
    <row r="23" spans="1:16" x14ac:dyDescent="0.75">
      <c r="B23" s="1" t="s">
        <v>376</v>
      </c>
      <c r="C23" s="3" t="b">
        <v>0</v>
      </c>
      <c r="D23" s="3" t="b">
        <v>0</v>
      </c>
      <c r="E23" s="3" t="b">
        <v>1</v>
      </c>
      <c r="F23" s="3" t="b">
        <v>0</v>
      </c>
      <c r="G23" s="8" t="s">
        <v>517</v>
      </c>
      <c r="H23">
        <v>3</v>
      </c>
      <c r="J23" s="18"/>
      <c r="K23" s="18"/>
      <c r="L23" s="18"/>
      <c r="M23" s="18"/>
      <c r="N23" s="18"/>
      <c r="O23" s="18"/>
      <c r="P23" s="18"/>
    </row>
    <row r="24" spans="1:16" ht="29.5" x14ac:dyDescent="0.75">
      <c r="B24" s="1" t="s">
        <v>387</v>
      </c>
      <c r="C24" s="3" t="b">
        <v>0</v>
      </c>
      <c r="D24" s="3" t="b">
        <v>1</v>
      </c>
      <c r="E24" s="3" t="b">
        <v>0</v>
      </c>
      <c r="F24" s="3" t="b">
        <v>0</v>
      </c>
      <c r="G24" s="8" t="s">
        <v>489</v>
      </c>
      <c r="H24">
        <v>3</v>
      </c>
      <c r="J24" s="18"/>
      <c r="K24" s="18"/>
      <c r="L24" s="18"/>
      <c r="M24" s="18"/>
      <c r="N24" s="18"/>
      <c r="O24" s="18"/>
      <c r="P24" s="18"/>
    </row>
    <row r="25" spans="1:16" ht="29.5" x14ac:dyDescent="0.75">
      <c r="B25" s="1" t="s">
        <v>407</v>
      </c>
      <c r="C25" s="3" t="b">
        <v>1</v>
      </c>
      <c r="D25" s="3" t="b">
        <v>0</v>
      </c>
      <c r="E25" s="3" t="b">
        <v>0</v>
      </c>
      <c r="F25" s="3" t="b">
        <v>0</v>
      </c>
      <c r="G25" s="8" t="s">
        <v>488</v>
      </c>
      <c r="H25">
        <v>3</v>
      </c>
      <c r="J25" s="18"/>
      <c r="K25" s="18"/>
      <c r="L25" s="18"/>
      <c r="M25" s="18"/>
      <c r="N25" s="18"/>
      <c r="O25" s="18"/>
      <c r="P25" s="18"/>
    </row>
    <row r="26" spans="1:16" x14ac:dyDescent="0.75">
      <c r="B26" s="1" t="s">
        <v>429</v>
      </c>
      <c r="C26" s="3" t="b">
        <v>1</v>
      </c>
      <c r="D26" s="3" t="b">
        <v>0</v>
      </c>
      <c r="E26" s="3" t="b">
        <v>0</v>
      </c>
      <c r="F26" s="3" t="b">
        <v>0</v>
      </c>
      <c r="G26" s="8" t="s">
        <v>488</v>
      </c>
      <c r="H26">
        <v>3</v>
      </c>
      <c r="J26" s="18"/>
      <c r="K26" s="18"/>
      <c r="L26" s="18"/>
      <c r="M26" s="18"/>
      <c r="N26" s="18"/>
      <c r="O26" s="18"/>
      <c r="P26" s="18"/>
    </row>
    <row r="27" spans="1:16" x14ac:dyDescent="0.75">
      <c r="B27" s="1" t="s">
        <v>433</v>
      </c>
      <c r="C27" s="3" t="b">
        <v>1</v>
      </c>
      <c r="D27" s="3" t="b">
        <v>0</v>
      </c>
      <c r="E27" s="3" t="b">
        <v>0</v>
      </c>
      <c r="F27" s="3" t="b">
        <v>0</v>
      </c>
      <c r="G27" s="8" t="s">
        <v>488</v>
      </c>
      <c r="H27">
        <v>3</v>
      </c>
    </row>
    <row r="28" spans="1:16" ht="29.5" x14ac:dyDescent="0.75">
      <c r="A28" t="s">
        <v>537</v>
      </c>
      <c r="B28" s="17" t="s">
        <v>461</v>
      </c>
      <c r="C28" s="3" t="b">
        <v>0</v>
      </c>
      <c r="D28" s="3" t="s">
        <v>529</v>
      </c>
      <c r="E28" s="3" t="b">
        <v>0</v>
      </c>
      <c r="F28" s="3" t="b">
        <v>0</v>
      </c>
      <c r="G28" s="8" t="s">
        <v>516</v>
      </c>
      <c r="H28">
        <v>2</v>
      </c>
      <c r="J28" t="s">
        <v>496</v>
      </c>
      <c r="K28" t="s">
        <v>510</v>
      </c>
    </row>
    <row r="29" spans="1:16" ht="29.5" x14ac:dyDescent="0.75">
      <c r="B29" s="1" t="s">
        <v>462</v>
      </c>
      <c r="C29" s="3" t="b">
        <v>0</v>
      </c>
      <c r="D29" s="3" t="b">
        <v>0</v>
      </c>
      <c r="E29" s="3" t="b">
        <v>1</v>
      </c>
      <c r="F29" s="3" t="b">
        <v>0</v>
      </c>
      <c r="G29" s="8" t="s">
        <v>518</v>
      </c>
      <c r="H29">
        <v>3</v>
      </c>
      <c r="L29" s="10"/>
    </row>
    <row r="30" spans="1:16" x14ac:dyDescent="0.75">
      <c r="G30" s="8"/>
    </row>
    <row r="31" spans="1:16" x14ac:dyDescent="0.75">
      <c r="G31" s="8"/>
    </row>
    <row r="32" spans="1:16" x14ac:dyDescent="0.75">
      <c r="G32" s="8"/>
    </row>
    <row r="33" spans="3:7" x14ac:dyDescent="0.75">
      <c r="G33" s="8"/>
    </row>
    <row r="34" spans="3:7" x14ac:dyDescent="0.75">
      <c r="C34">
        <f>COUNTIF(C3:C31, TRUE)</f>
        <v>11</v>
      </c>
      <c r="D34">
        <f t="shared" ref="D34:F34" si="0">COUNTIF(D3:D31, TRUE)</f>
        <v>5</v>
      </c>
      <c r="E34">
        <f t="shared" si="0"/>
        <v>6</v>
      </c>
      <c r="F34">
        <f t="shared" si="0"/>
        <v>2</v>
      </c>
      <c r="G34" s="8">
        <f>SUM(C34:F34)</f>
        <v>24</v>
      </c>
    </row>
  </sheetData>
  <mergeCells count="1">
    <mergeCell ref="J3:P26"/>
  </mergeCells>
  <phoneticPr fontId="3" type="noConversion"/>
  <conditionalFormatting sqref="H3:H29">
    <cfRule type="cellIs" dxfId="2" priority="1" operator="lessThan">
      <formul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71451-6A66-418E-A611-A7EAF68E3E33}">
  <dimension ref="A1:P34"/>
  <sheetViews>
    <sheetView topLeftCell="B25" workbookViewId="0">
      <selection activeCell="J29" sqref="J29:O31"/>
    </sheetView>
  </sheetViews>
  <sheetFormatPr defaultRowHeight="14.75" x14ac:dyDescent="0.75"/>
  <cols>
    <col min="2" max="2" width="81.953125" customWidth="1"/>
    <col min="7" max="7" width="30.04296875" customWidth="1"/>
  </cols>
  <sheetData>
    <row r="1" spans="1:16" ht="24.5" customHeight="1" x14ac:dyDescent="0.75">
      <c r="A1" s="14"/>
      <c r="B1" s="14" t="s">
        <v>8</v>
      </c>
      <c r="C1" s="14"/>
      <c r="D1" s="14"/>
      <c r="E1" s="14"/>
      <c r="F1" s="14"/>
      <c r="G1" s="15" t="s">
        <v>483</v>
      </c>
      <c r="H1" s="14" t="s">
        <v>484</v>
      </c>
    </row>
    <row r="2" spans="1:16" ht="21" customHeight="1" x14ac:dyDescent="0.75">
      <c r="A2" s="14" t="s">
        <v>535</v>
      </c>
      <c r="B2" s="15" t="s">
        <v>441</v>
      </c>
      <c r="C2" s="14" t="s">
        <v>536</v>
      </c>
      <c r="D2" s="14" t="s">
        <v>485</v>
      </c>
      <c r="E2" s="14" t="s">
        <v>486</v>
      </c>
      <c r="F2" s="14" t="s">
        <v>487</v>
      </c>
      <c r="G2" s="15"/>
      <c r="H2" s="14"/>
    </row>
    <row r="3" spans="1:16" ht="21" customHeight="1" x14ac:dyDescent="0.75">
      <c r="B3" s="1" t="s">
        <v>41</v>
      </c>
      <c r="C3" s="3" t="b">
        <v>0</v>
      </c>
      <c r="D3" s="3" t="b">
        <v>0</v>
      </c>
      <c r="E3" s="3" t="b">
        <v>0</v>
      </c>
      <c r="F3" s="3" t="b">
        <v>1</v>
      </c>
      <c r="G3" s="8" t="s">
        <v>494</v>
      </c>
      <c r="H3">
        <v>3</v>
      </c>
      <c r="J3" s="18" t="s">
        <v>16</v>
      </c>
      <c r="K3" s="18"/>
      <c r="L3" s="18"/>
      <c r="M3" s="18"/>
      <c r="N3" s="18"/>
      <c r="O3" s="18"/>
      <c r="P3" s="18"/>
    </row>
    <row r="4" spans="1:16" x14ac:dyDescent="0.75">
      <c r="B4" s="1" t="s">
        <v>82</v>
      </c>
      <c r="C4" s="3" t="b">
        <v>0</v>
      </c>
      <c r="D4" s="3" t="b">
        <v>0</v>
      </c>
      <c r="E4" s="3" t="b">
        <v>1</v>
      </c>
      <c r="F4" s="3" t="b">
        <v>0</v>
      </c>
      <c r="G4" s="8" t="s">
        <v>520</v>
      </c>
      <c r="H4">
        <v>2</v>
      </c>
      <c r="J4" s="18"/>
      <c r="K4" s="18"/>
      <c r="L4" s="18"/>
      <c r="M4" s="18"/>
      <c r="N4" s="18"/>
      <c r="O4" s="18"/>
      <c r="P4" s="18"/>
    </row>
    <row r="5" spans="1:16" x14ac:dyDescent="0.75">
      <c r="B5" s="1" t="s">
        <v>108</v>
      </c>
      <c r="C5" s="3" t="b">
        <v>0</v>
      </c>
      <c r="D5" s="3" t="b">
        <v>1</v>
      </c>
      <c r="E5" s="3" t="b">
        <v>0</v>
      </c>
      <c r="F5" s="3" t="b">
        <v>0</v>
      </c>
      <c r="G5" s="8" t="s">
        <v>521</v>
      </c>
      <c r="H5">
        <v>2</v>
      </c>
      <c r="J5" s="18"/>
      <c r="K5" s="18"/>
      <c r="L5" s="18"/>
      <c r="M5" s="18"/>
      <c r="N5" s="18"/>
      <c r="O5" s="18"/>
      <c r="P5" s="18"/>
    </row>
    <row r="6" spans="1:16" x14ac:dyDescent="0.75">
      <c r="B6" s="1" t="s">
        <v>125</v>
      </c>
      <c r="C6" s="3" t="b">
        <v>1</v>
      </c>
      <c r="D6" s="3" t="b">
        <v>0</v>
      </c>
      <c r="E6" s="3" t="b">
        <v>0</v>
      </c>
      <c r="F6" s="3" t="b">
        <v>0</v>
      </c>
      <c r="G6" s="8" t="s">
        <v>488</v>
      </c>
      <c r="H6">
        <v>3</v>
      </c>
      <c r="J6" s="18"/>
      <c r="K6" s="18"/>
      <c r="L6" s="18"/>
      <c r="M6" s="18"/>
      <c r="N6" s="18"/>
      <c r="O6" s="18"/>
      <c r="P6" s="18"/>
    </row>
    <row r="7" spans="1:16" x14ac:dyDescent="0.75">
      <c r="B7" s="1" t="s">
        <v>149</v>
      </c>
      <c r="C7" s="3" t="b">
        <v>1</v>
      </c>
      <c r="D7" s="3" t="b">
        <v>0</v>
      </c>
      <c r="E7" s="3" t="b">
        <v>0</v>
      </c>
      <c r="F7" s="3" t="b">
        <v>0</v>
      </c>
      <c r="G7" s="8" t="s">
        <v>488</v>
      </c>
      <c r="H7">
        <v>3</v>
      </c>
      <c r="J7" s="18"/>
      <c r="K7" s="18"/>
      <c r="L7" s="18"/>
      <c r="M7" s="18"/>
      <c r="N7" s="18"/>
      <c r="O7" s="18"/>
      <c r="P7" s="18"/>
    </row>
    <row r="8" spans="1:16" x14ac:dyDescent="0.75">
      <c r="B8" s="1" t="s">
        <v>158</v>
      </c>
      <c r="C8" s="3" t="b">
        <v>1</v>
      </c>
      <c r="D8" s="3" t="b">
        <v>0</v>
      </c>
      <c r="E8" s="3" t="b">
        <v>0</v>
      </c>
      <c r="F8" s="3" t="b">
        <v>0</v>
      </c>
      <c r="G8" s="8" t="s">
        <v>488</v>
      </c>
      <c r="H8">
        <v>3</v>
      </c>
      <c r="J8" s="18"/>
      <c r="K8" s="18"/>
      <c r="L8" s="18"/>
      <c r="M8" s="18"/>
      <c r="N8" s="18"/>
      <c r="O8" s="18"/>
      <c r="P8" s="18"/>
    </row>
    <row r="9" spans="1:16" ht="29.5" x14ac:dyDescent="0.75">
      <c r="B9" s="1" t="s">
        <v>190</v>
      </c>
      <c r="C9" s="3" t="b">
        <v>1</v>
      </c>
      <c r="D9" s="3" t="b">
        <v>0</v>
      </c>
      <c r="E9" s="3" t="b">
        <v>0</v>
      </c>
      <c r="F9" s="3" t="b">
        <v>0</v>
      </c>
      <c r="G9" s="8" t="s">
        <v>488</v>
      </c>
      <c r="H9">
        <v>3</v>
      </c>
      <c r="J9" s="18"/>
      <c r="K9" s="18"/>
      <c r="L9" s="18"/>
      <c r="M9" s="18"/>
      <c r="N9" s="18"/>
      <c r="O9" s="18"/>
      <c r="P9" s="18"/>
    </row>
    <row r="10" spans="1:16" x14ac:dyDescent="0.75">
      <c r="B10" s="1" t="s">
        <v>215</v>
      </c>
      <c r="C10" s="3" t="b">
        <v>1</v>
      </c>
      <c r="D10" s="3" t="b">
        <v>0</v>
      </c>
      <c r="E10" s="3" t="b">
        <v>0</v>
      </c>
      <c r="F10" s="3" t="b">
        <v>0</v>
      </c>
      <c r="G10" s="8" t="s">
        <v>488</v>
      </c>
      <c r="H10">
        <v>3</v>
      </c>
      <c r="J10" s="18"/>
      <c r="K10" s="18"/>
      <c r="L10" s="18"/>
      <c r="M10" s="18"/>
      <c r="N10" s="18"/>
      <c r="O10" s="18"/>
      <c r="P10" s="18"/>
    </row>
    <row r="11" spans="1:16" x14ac:dyDescent="0.75">
      <c r="A11" t="s">
        <v>537</v>
      </c>
      <c r="B11" s="16" t="s">
        <v>220</v>
      </c>
      <c r="C11" s="3" t="s">
        <v>526</v>
      </c>
      <c r="D11" s="3" t="b">
        <v>0</v>
      </c>
      <c r="E11" s="3" t="b">
        <v>0</v>
      </c>
      <c r="F11" s="3" t="b">
        <v>0</v>
      </c>
      <c r="G11" s="8" t="s">
        <v>488</v>
      </c>
      <c r="H11">
        <v>3</v>
      </c>
      <c r="J11" s="18"/>
      <c r="K11" s="18"/>
      <c r="L11" s="18"/>
      <c r="M11" s="18"/>
      <c r="N11" s="18"/>
      <c r="O11" s="18"/>
      <c r="P11" s="18"/>
    </row>
    <row r="12" spans="1:16" x14ac:dyDescent="0.75">
      <c r="B12" s="1" t="s">
        <v>226</v>
      </c>
      <c r="C12" s="3" t="b">
        <v>0</v>
      </c>
      <c r="D12" s="3" t="b">
        <v>0</v>
      </c>
      <c r="E12" s="3" t="b">
        <v>1</v>
      </c>
      <c r="F12" s="3" t="b">
        <v>0</v>
      </c>
      <c r="G12" s="8" t="s">
        <v>489</v>
      </c>
      <c r="H12">
        <v>3</v>
      </c>
      <c r="J12" s="18"/>
      <c r="K12" s="18"/>
      <c r="L12" s="18"/>
      <c r="M12" s="18"/>
      <c r="N12" s="18"/>
      <c r="O12" s="18"/>
      <c r="P12" s="18"/>
    </row>
    <row r="13" spans="1:16" ht="29.5" x14ac:dyDescent="0.75">
      <c r="B13" s="1" t="s">
        <v>230</v>
      </c>
      <c r="C13" s="3" t="b">
        <v>0</v>
      </c>
      <c r="D13" s="3" t="b">
        <v>0</v>
      </c>
      <c r="E13" s="3" t="b">
        <v>1</v>
      </c>
      <c r="F13" s="3" t="b">
        <v>0</v>
      </c>
      <c r="G13" s="8" t="s">
        <v>522</v>
      </c>
      <c r="H13">
        <v>3</v>
      </c>
      <c r="J13" s="18"/>
      <c r="K13" s="18"/>
      <c r="L13" s="18"/>
      <c r="M13" s="18"/>
      <c r="N13" s="18"/>
      <c r="O13" s="18"/>
      <c r="P13" s="18"/>
    </row>
    <row r="14" spans="1:16" x14ac:dyDescent="0.75">
      <c r="B14" s="1" t="s">
        <v>249</v>
      </c>
      <c r="C14" s="3" t="b">
        <v>0</v>
      </c>
      <c r="D14" s="3" t="b">
        <v>1</v>
      </c>
      <c r="E14" s="3" t="b">
        <v>0</v>
      </c>
      <c r="F14" s="3" t="b">
        <v>0</v>
      </c>
      <c r="G14" s="8" t="s">
        <v>523</v>
      </c>
      <c r="H14">
        <v>2</v>
      </c>
      <c r="J14" s="18"/>
      <c r="K14" s="18"/>
      <c r="L14" s="18"/>
      <c r="M14" s="18"/>
      <c r="N14" s="18"/>
      <c r="O14" s="18"/>
      <c r="P14" s="18"/>
    </row>
    <row r="15" spans="1:16" x14ac:dyDescent="0.75">
      <c r="B15" s="1" t="s">
        <v>256</v>
      </c>
      <c r="C15" s="3" t="b">
        <v>1</v>
      </c>
      <c r="D15" s="3" t="b">
        <v>0</v>
      </c>
      <c r="E15" s="3" t="b">
        <v>0</v>
      </c>
      <c r="F15" s="3" t="b">
        <v>0</v>
      </c>
      <c r="G15" s="8" t="s">
        <v>488</v>
      </c>
      <c r="H15">
        <v>3</v>
      </c>
      <c r="J15" s="18"/>
      <c r="K15" s="18"/>
      <c r="L15" s="18"/>
      <c r="M15" s="18"/>
      <c r="N15" s="18"/>
      <c r="O15" s="18"/>
      <c r="P15" s="18"/>
    </row>
    <row r="16" spans="1:16" ht="44.25" x14ac:dyDescent="0.75">
      <c r="B16" s="1" t="s">
        <v>262</v>
      </c>
      <c r="C16" s="3" t="b">
        <v>0</v>
      </c>
      <c r="D16" s="3" t="b">
        <v>0</v>
      </c>
      <c r="E16" s="3" t="b">
        <v>0</v>
      </c>
      <c r="F16" s="3" t="b">
        <v>1</v>
      </c>
      <c r="G16" s="8" t="s">
        <v>533</v>
      </c>
      <c r="H16">
        <v>3</v>
      </c>
      <c r="J16" s="18"/>
      <c r="K16" s="18"/>
      <c r="L16" s="18"/>
      <c r="M16" s="18"/>
      <c r="N16" s="18"/>
      <c r="O16" s="18"/>
      <c r="P16" s="18"/>
    </row>
    <row r="17" spans="1:16" x14ac:dyDescent="0.75">
      <c r="B17" s="1" t="s">
        <v>272</v>
      </c>
      <c r="C17" s="3" t="b">
        <v>1</v>
      </c>
      <c r="D17" s="3" t="b">
        <v>0</v>
      </c>
      <c r="E17" s="3" t="b">
        <v>0</v>
      </c>
      <c r="F17" s="3" t="b">
        <v>0</v>
      </c>
      <c r="G17" s="8" t="s">
        <v>488</v>
      </c>
      <c r="H17">
        <v>3</v>
      </c>
      <c r="J17" s="18"/>
      <c r="K17" s="18"/>
      <c r="L17" s="18"/>
      <c r="M17" s="18"/>
      <c r="N17" s="18"/>
      <c r="O17" s="18"/>
      <c r="P17" s="18"/>
    </row>
    <row r="18" spans="1:16" x14ac:dyDescent="0.75">
      <c r="B18" s="1" t="s">
        <v>309</v>
      </c>
      <c r="C18" s="3" t="b">
        <v>1</v>
      </c>
      <c r="D18" s="3" t="b">
        <v>0</v>
      </c>
      <c r="E18" s="3" t="b">
        <v>0</v>
      </c>
      <c r="F18" s="3" t="b">
        <v>0</v>
      </c>
      <c r="G18" s="8" t="s">
        <v>488</v>
      </c>
      <c r="H18">
        <v>3</v>
      </c>
      <c r="J18" s="18"/>
      <c r="K18" s="18"/>
      <c r="L18" s="18"/>
      <c r="M18" s="18"/>
      <c r="N18" s="18"/>
      <c r="O18" s="18"/>
      <c r="P18" s="18"/>
    </row>
    <row r="19" spans="1:16" ht="29.5" x14ac:dyDescent="0.75">
      <c r="B19" s="1" t="s">
        <v>344</v>
      </c>
      <c r="C19" s="3" t="b">
        <v>0</v>
      </c>
      <c r="D19" s="3" t="b">
        <v>1</v>
      </c>
      <c r="E19" s="3" t="b">
        <v>0</v>
      </c>
      <c r="F19" s="3" t="b">
        <v>0</v>
      </c>
      <c r="G19" s="11" t="s">
        <v>524</v>
      </c>
      <c r="H19">
        <v>2</v>
      </c>
      <c r="J19" s="18"/>
      <c r="K19" s="18"/>
      <c r="L19" s="18"/>
      <c r="M19" s="18"/>
      <c r="N19" s="18"/>
      <c r="O19" s="18"/>
      <c r="P19" s="18"/>
    </row>
    <row r="20" spans="1:16" x14ac:dyDescent="0.75">
      <c r="B20" s="1" t="s">
        <v>349</v>
      </c>
      <c r="C20" s="3" t="b">
        <v>1</v>
      </c>
      <c r="D20" s="3" t="b">
        <v>0</v>
      </c>
      <c r="E20" s="3" t="b">
        <v>0</v>
      </c>
      <c r="F20" s="3" t="b">
        <v>0</v>
      </c>
      <c r="G20" s="8" t="s">
        <v>488</v>
      </c>
      <c r="H20">
        <v>3</v>
      </c>
      <c r="J20" s="18"/>
      <c r="K20" s="18"/>
      <c r="L20" s="18"/>
      <c r="M20" s="18"/>
      <c r="N20" s="18"/>
      <c r="O20" s="18"/>
      <c r="P20" s="18"/>
    </row>
    <row r="21" spans="1:16" x14ac:dyDescent="0.75">
      <c r="B21" s="1" t="s">
        <v>354</v>
      </c>
      <c r="C21" s="3" t="b">
        <v>1</v>
      </c>
      <c r="D21" s="3" t="b">
        <v>0</v>
      </c>
      <c r="E21" s="3" t="b">
        <v>0</v>
      </c>
      <c r="F21" s="3" t="b">
        <v>0</v>
      </c>
      <c r="G21" s="8" t="s">
        <v>488</v>
      </c>
      <c r="H21">
        <v>3</v>
      </c>
      <c r="J21" s="18"/>
      <c r="K21" s="18"/>
      <c r="L21" s="18"/>
      <c r="M21" s="18"/>
      <c r="N21" s="18"/>
      <c r="O21" s="18"/>
      <c r="P21" s="18"/>
    </row>
    <row r="22" spans="1:16" ht="29.5" x14ac:dyDescent="0.75">
      <c r="B22" s="1" t="s">
        <v>364</v>
      </c>
      <c r="C22" s="3" t="b">
        <v>0</v>
      </c>
      <c r="D22" s="3" t="b">
        <v>0</v>
      </c>
      <c r="E22" s="3" t="b">
        <v>1</v>
      </c>
      <c r="F22" s="3" t="b">
        <v>0</v>
      </c>
      <c r="G22" s="8" t="s">
        <v>489</v>
      </c>
      <c r="H22">
        <v>3</v>
      </c>
      <c r="J22" s="18"/>
      <c r="K22" s="18"/>
      <c r="L22" s="18"/>
      <c r="M22" s="18"/>
      <c r="N22" s="18"/>
      <c r="O22" s="18"/>
      <c r="P22" s="18"/>
    </row>
    <row r="23" spans="1:16" x14ac:dyDescent="0.75">
      <c r="A23" t="s">
        <v>537</v>
      </c>
      <c r="B23" s="16" t="s">
        <v>374</v>
      </c>
      <c r="C23" s="3" t="b">
        <v>0</v>
      </c>
      <c r="D23" s="3" t="b">
        <v>0</v>
      </c>
      <c r="E23" s="3" t="b">
        <v>0</v>
      </c>
      <c r="F23" s="3" t="s">
        <v>534</v>
      </c>
      <c r="G23" s="8" t="s">
        <v>494</v>
      </c>
      <c r="H23">
        <v>3</v>
      </c>
      <c r="J23" s="18"/>
      <c r="K23" s="18"/>
      <c r="L23" s="18"/>
      <c r="M23" s="18"/>
      <c r="N23" s="18"/>
      <c r="O23" s="18"/>
      <c r="P23" s="18"/>
    </row>
    <row r="24" spans="1:16" ht="29.5" x14ac:dyDescent="0.75">
      <c r="B24" s="1" t="s">
        <v>393</v>
      </c>
      <c r="C24" s="3" t="b">
        <v>0</v>
      </c>
      <c r="D24" s="3" t="b">
        <v>0</v>
      </c>
      <c r="E24" s="3" t="b">
        <v>1</v>
      </c>
      <c r="F24" s="3" t="b">
        <v>0</v>
      </c>
      <c r="G24" s="8" t="s">
        <v>489</v>
      </c>
      <c r="H24">
        <v>3</v>
      </c>
      <c r="J24" s="18"/>
      <c r="K24" s="18"/>
      <c r="L24" s="18"/>
      <c r="M24" s="18"/>
      <c r="N24" s="18"/>
      <c r="O24" s="18"/>
      <c r="P24" s="18"/>
    </row>
    <row r="25" spans="1:16" ht="29.5" x14ac:dyDescent="0.75">
      <c r="B25" s="1" t="s">
        <v>403</v>
      </c>
      <c r="C25" s="3" t="b">
        <v>0</v>
      </c>
      <c r="D25" s="3" t="b">
        <v>0</v>
      </c>
      <c r="E25" s="3" t="b">
        <v>1</v>
      </c>
      <c r="F25" s="3" t="b">
        <v>0</v>
      </c>
      <c r="G25" s="8" t="s">
        <v>489</v>
      </c>
      <c r="H25">
        <v>3</v>
      </c>
      <c r="J25" s="18"/>
      <c r="K25" s="18"/>
      <c r="L25" s="18"/>
      <c r="M25" s="18"/>
      <c r="N25" s="18"/>
      <c r="O25" s="18"/>
      <c r="P25" s="18"/>
    </row>
    <row r="26" spans="1:16" x14ac:dyDescent="0.75">
      <c r="B26" s="1" t="s">
        <v>431</v>
      </c>
      <c r="C26" s="3" t="b">
        <v>0</v>
      </c>
      <c r="D26" s="3" t="b">
        <v>1</v>
      </c>
      <c r="E26" s="3" t="b">
        <v>0</v>
      </c>
      <c r="F26" s="3" t="b">
        <v>0</v>
      </c>
      <c r="G26" s="8" t="s">
        <v>525</v>
      </c>
      <c r="H26">
        <v>3</v>
      </c>
      <c r="J26" s="18"/>
      <c r="K26" s="18"/>
      <c r="L26" s="18"/>
      <c r="M26" s="18"/>
      <c r="N26" s="18"/>
      <c r="O26" s="18"/>
      <c r="P26" s="18"/>
    </row>
    <row r="27" spans="1:16" x14ac:dyDescent="0.75">
      <c r="B27" s="1" t="s">
        <v>435</v>
      </c>
      <c r="C27" s="3" t="b">
        <v>1</v>
      </c>
      <c r="D27" s="3" t="b">
        <v>0</v>
      </c>
      <c r="E27" s="3" t="b">
        <v>0</v>
      </c>
      <c r="F27" s="3" t="b">
        <v>0</v>
      </c>
      <c r="G27" s="8" t="s">
        <v>488</v>
      </c>
      <c r="H27">
        <v>3</v>
      </c>
    </row>
    <row r="28" spans="1:16" ht="29.5" x14ac:dyDescent="0.75">
      <c r="B28" s="1" t="s">
        <v>459</v>
      </c>
      <c r="C28" s="3" t="b">
        <v>1</v>
      </c>
      <c r="D28" s="3" t="b">
        <v>0</v>
      </c>
      <c r="E28" s="3" t="b">
        <v>0</v>
      </c>
      <c r="F28" s="3" t="b">
        <v>0</v>
      </c>
      <c r="G28" s="8" t="s">
        <v>488</v>
      </c>
      <c r="H28">
        <v>3</v>
      </c>
      <c r="J28" t="s">
        <v>496</v>
      </c>
      <c r="L28" t="s">
        <v>519</v>
      </c>
    </row>
    <row r="29" spans="1:16" x14ac:dyDescent="0.75">
      <c r="G29" s="8"/>
    </row>
    <row r="30" spans="1:16" x14ac:dyDescent="0.75">
      <c r="G30" s="8"/>
    </row>
    <row r="31" spans="1:16" x14ac:dyDescent="0.75">
      <c r="G31" s="8"/>
    </row>
    <row r="32" spans="1:16" x14ac:dyDescent="0.75">
      <c r="G32" s="8"/>
    </row>
    <row r="33" spans="3:7" x14ac:dyDescent="0.75">
      <c r="G33" s="8"/>
    </row>
    <row r="34" spans="3:7" x14ac:dyDescent="0.75">
      <c r="C34">
        <f>COUNTIF(C3:C31, TRUE)</f>
        <v>12</v>
      </c>
      <c r="D34">
        <f t="shared" ref="D34:F34" si="0">COUNTIF(D3:D31, TRUE)</f>
        <v>4</v>
      </c>
      <c r="E34">
        <f t="shared" si="0"/>
        <v>6</v>
      </c>
      <c r="F34">
        <f t="shared" si="0"/>
        <v>2</v>
      </c>
      <c r="G34" s="8">
        <f>SUM(C34:F34)</f>
        <v>24</v>
      </c>
    </row>
  </sheetData>
  <mergeCells count="1">
    <mergeCell ref="J3:P26"/>
  </mergeCells>
  <phoneticPr fontId="3" type="noConversion"/>
  <conditionalFormatting sqref="H3:H28">
    <cfRule type="cellIs" dxfId="1" priority="1" operator="less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EE287-5AA7-438D-889E-D0A1BD013CE5}">
  <dimension ref="A1:F16"/>
  <sheetViews>
    <sheetView tabSelected="1" workbookViewId="0">
      <selection activeCell="G5" sqref="G5"/>
    </sheetView>
  </sheetViews>
  <sheetFormatPr defaultRowHeight="14.75" x14ac:dyDescent="0.75"/>
  <cols>
    <col min="1" max="1" width="10.2265625" customWidth="1"/>
  </cols>
  <sheetData>
    <row r="1" spans="1:6" x14ac:dyDescent="0.75">
      <c r="A1" t="s">
        <v>447</v>
      </c>
      <c r="B1" t="s">
        <v>536</v>
      </c>
      <c r="C1" t="s">
        <v>485</v>
      </c>
      <c r="D1" t="s">
        <v>486</v>
      </c>
      <c r="E1" t="s">
        <v>487</v>
      </c>
    </row>
    <row r="2" spans="1:6" x14ac:dyDescent="0.75">
      <c r="A2" t="s">
        <v>442</v>
      </c>
      <c r="B2">
        <f>'System Screwed them over'!B34</f>
        <v>12</v>
      </c>
      <c r="C2">
        <f>'System Screwed them over'!C34</f>
        <v>1</v>
      </c>
      <c r="D2">
        <f>'System Screwed them over'!D34</f>
        <v>8</v>
      </c>
      <c r="E2">
        <f>'System Screwed them over'!E34</f>
        <v>3</v>
      </c>
    </row>
    <row r="3" spans="1:6" x14ac:dyDescent="0.75">
      <c r="A3" t="s">
        <v>443</v>
      </c>
      <c r="B3">
        <f>'build more prisons '!B34</f>
        <v>14</v>
      </c>
      <c r="C3">
        <f>'build more prisons '!C34</f>
        <v>3</v>
      </c>
      <c r="D3">
        <f>'build more prisons '!D34</f>
        <v>6</v>
      </c>
      <c r="E3">
        <f>'build more prisons '!E34</f>
        <v>1</v>
      </c>
    </row>
    <row r="4" spans="1:6" x14ac:dyDescent="0.75">
      <c r="A4" t="s">
        <v>444</v>
      </c>
      <c r="B4">
        <f>'shock to the system'!B34</f>
        <v>15</v>
      </c>
      <c r="C4">
        <f>'shock to the system'!C34</f>
        <v>4</v>
      </c>
      <c r="D4">
        <f>'shock to the system'!D34</f>
        <v>5</v>
      </c>
      <c r="E4">
        <f>'shock to the system'!E34</f>
        <v>0</v>
      </c>
    </row>
    <row r="5" spans="1:6" x14ac:dyDescent="0.75">
      <c r="A5" t="s">
        <v>445</v>
      </c>
      <c r="B5">
        <f>'measure people skills'!C34</f>
        <v>11</v>
      </c>
      <c r="C5">
        <f>'measure people skills'!D34</f>
        <v>5</v>
      </c>
      <c r="D5">
        <f>'measure people skills'!E34</f>
        <v>6</v>
      </c>
      <c r="E5">
        <f>'measure people skills'!F34</f>
        <v>2</v>
      </c>
    </row>
    <row r="6" spans="1:6" x14ac:dyDescent="0.75">
      <c r="A6" t="s">
        <v>446</v>
      </c>
      <c r="B6">
        <f>'New motorbike system'!C34</f>
        <v>12</v>
      </c>
      <c r="C6">
        <f>'New motorbike system'!D34</f>
        <v>4</v>
      </c>
      <c r="D6">
        <f>'New motorbike system'!E34</f>
        <v>6</v>
      </c>
      <c r="E6">
        <f>'New motorbike system'!F34</f>
        <v>2</v>
      </c>
    </row>
    <row r="8" spans="1:6" x14ac:dyDescent="0.75">
      <c r="A8" t="s">
        <v>447</v>
      </c>
      <c r="B8" t="s">
        <v>536</v>
      </c>
      <c r="C8" t="s">
        <v>485</v>
      </c>
      <c r="D8" t="s">
        <v>486</v>
      </c>
      <c r="E8" t="s">
        <v>487</v>
      </c>
    </row>
    <row r="9" spans="1:6" x14ac:dyDescent="0.75">
      <c r="A9" t="s">
        <v>448</v>
      </c>
      <c r="B9">
        <f>SUM(Table6[PAR])</f>
        <v>64</v>
      </c>
      <c r="C9">
        <f>SUM(Table6[SIT])</f>
        <v>17</v>
      </c>
      <c r="D9">
        <f>SUM(Table6[INF])</f>
        <v>31</v>
      </c>
      <c r="E9">
        <f>SUM(Table6[EVA])</f>
        <v>8</v>
      </c>
    </row>
    <row r="11" spans="1:6" x14ac:dyDescent="0.75">
      <c r="A11" t="s">
        <v>447</v>
      </c>
      <c r="B11" t="s">
        <v>536</v>
      </c>
      <c r="C11" t="s">
        <v>485</v>
      </c>
      <c r="D11" t="s">
        <v>486</v>
      </c>
      <c r="E11" t="s">
        <v>487</v>
      </c>
      <c r="F11" t="s">
        <v>538</v>
      </c>
    </row>
    <row r="12" spans="1:6" x14ac:dyDescent="0.75">
      <c r="A12" t="s">
        <v>442</v>
      </c>
      <c r="B12" s="7">
        <f>B2/Table610[[#This Row],[Total]]</f>
        <v>0.5</v>
      </c>
      <c r="C12" s="7">
        <f>C2/Table610[[#This Row],[Total]]</f>
        <v>4.1666666666666664E-2</v>
      </c>
      <c r="D12" s="7">
        <f>D2/Table610[[#This Row],[Total]]</f>
        <v>0.33333333333333331</v>
      </c>
      <c r="E12" s="7">
        <f>E2/F12</f>
        <v>0.125</v>
      </c>
      <c r="F12" s="12">
        <f>SUM(B2:E2)</f>
        <v>24</v>
      </c>
    </row>
    <row r="13" spans="1:6" x14ac:dyDescent="0.75">
      <c r="A13" t="s">
        <v>443</v>
      </c>
      <c r="B13" s="7">
        <f>B3/Table610[[#This Row],[Total]]</f>
        <v>0.58333333333333337</v>
      </c>
      <c r="C13" s="7">
        <f>C3/Table610[[#This Row],[Total]]</f>
        <v>0.125</v>
      </c>
      <c r="D13" s="7">
        <f>D3/Table610[[#This Row],[Total]]</f>
        <v>0.25</v>
      </c>
      <c r="E13" s="7">
        <f t="shared" ref="E13:E16" si="0">E3/F13</f>
        <v>4.1666666666666664E-2</v>
      </c>
      <c r="F13" s="12">
        <f t="shared" ref="F13:F16" si="1">SUM(B3:E3)</f>
        <v>24</v>
      </c>
    </row>
    <row r="14" spans="1:6" x14ac:dyDescent="0.75">
      <c r="A14" t="s">
        <v>444</v>
      </c>
      <c r="B14" s="7">
        <f>B4/Table610[[#This Row],[Total]]</f>
        <v>0.625</v>
      </c>
      <c r="C14" s="7">
        <f>C4/Table610[[#This Row],[Total]]</f>
        <v>0.16666666666666666</v>
      </c>
      <c r="D14" s="7">
        <f>D4/Table610[[#This Row],[Total]]</f>
        <v>0.20833333333333334</v>
      </c>
      <c r="E14" s="7">
        <f t="shared" si="0"/>
        <v>0</v>
      </c>
      <c r="F14" s="12">
        <f t="shared" si="1"/>
        <v>24</v>
      </c>
    </row>
    <row r="15" spans="1:6" x14ac:dyDescent="0.75">
      <c r="A15" t="s">
        <v>445</v>
      </c>
      <c r="B15" s="7">
        <f>B5/Table610[[#This Row],[Total]]</f>
        <v>0.45833333333333331</v>
      </c>
      <c r="C15" s="7">
        <f>C5/Table610[[#This Row],[Total]]</f>
        <v>0.20833333333333334</v>
      </c>
      <c r="D15" s="7">
        <f>D5/Table610[[#This Row],[Total]]</f>
        <v>0.25</v>
      </c>
      <c r="E15" s="7">
        <f t="shared" si="0"/>
        <v>8.3333333333333329E-2</v>
      </c>
      <c r="F15" s="12">
        <f t="shared" si="1"/>
        <v>24</v>
      </c>
    </row>
    <row r="16" spans="1:6" x14ac:dyDescent="0.75">
      <c r="A16" t="s">
        <v>446</v>
      </c>
      <c r="B16" s="7">
        <f>B6/Table610[[#This Row],[Total]]</f>
        <v>0.5</v>
      </c>
      <c r="C16" s="7">
        <f>C6/Table610[[#This Row],[Total]]</f>
        <v>0.16666666666666666</v>
      </c>
      <c r="D16" s="7">
        <f>D6/Table610[[#This Row],[Total]]</f>
        <v>0.25</v>
      </c>
      <c r="E16" s="7">
        <f t="shared" si="0"/>
        <v>8.3333333333333329E-2</v>
      </c>
      <c r="F16" s="12">
        <f t="shared" si="1"/>
        <v>24</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Sheet0</vt:lpstr>
      <vt:lpstr>System Screwed them over</vt:lpstr>
      <vt:lpstr>build more prisons </vt:lpstr>
      <vt:lpstr>shock to the system</vt:lpstr>
      <vt:lpstr>measure people skills</vt:lpstr>
      <vt:lpstr>New motorbike system</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2024-12-11T12:31:55Z</dcterms:created>
  <dcterms:modified xsi:type="dcterms:W3CDTF">2025-11-05T17:00:14Z</dcterms:modified>
</cp:coreProperties>
</file>