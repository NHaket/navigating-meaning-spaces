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54" documentId="11_F267CAC32B79068A668A8257F9461A700F268265" xr6:coauthVersionLast="47" xr6:coauthVersionMax="47" xr10:uidLastSave="{E1082E46-FA6E-4794-9D20-CFBDBB330A88}"/>
  <bookViews>
    <workbookView xWindow="-90" yWindow="-90" windowWidth="19380" windowHeight="10260" firstSheet="3" activeTab="6" xr2:uid="{00000000-000D-0000-FFFF-FFFF00000000}"/>
  </bookViews>
  <sheets>
    <sheet name="Sheet0" sheetId="1" r:id="rId1"/>
    <sheet name="Not on the same planet" sheetId="2" r:id="rId2"/>
    <sheet name="you only live once" sheetId="3" r:id="rId3"/>
    <sheet name="pluto demotion" sheetId="4" r:id="rId4"/>
    <sheet name="save the planet" sheetId="5" r:id="rId5"/>
    <sheet name="london is lonely " sheetId="6" r:id="rId6"/>
    <sheet name="Summary" sheetId="7" r:id="rId7"/>
  </sheets>
  <definedNames>
    <definedName name="_xlnm._FilterDatabase" localSheetId="0" hidden="1">Sheet0!$A$2:$H$261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3" l="1"/>
  <c r="E3" i="7" s="1"/>
  <c r="E33" i="3"/>
  <c r="D3" i="7" s="1"/>
  <c r="D33" i="3"/>
  <c r="C33" i="3"/>
  <c r="B3" i="7" s="1"/>
  <c r="G33" i="3" l="1"/>
  <c r="C3" i="7"/>
  <c r="F33" i="2"/>
  <c r="E2" i="7" s="1"/>
  <c r="E33" i="2"/>
  <c r="D2" i="7" s="1"/>
  <c r="D33" i="2"/>
  <c r="C2" i="7" s="1"/>
  <c r="C33" i="2"/>
  <c r="F34" i="6"/>
  <c r="E6" i="7" s="1"/>
  <c r="E34" i="6"/>
  <c r="D6" i="7" s="1"/>
  <c r="D34" i="6"/>
  <c r="C34" i="6"/>
  <c r="B6" i="7" s="1"/>
  <c r="F34" i="5"/>
  <c r="E5" i="7" s="1"/>
  <c r="E34" i="5"/>
  <c r="D5" i="7" s="1"/>
  <c r="D34" i="5"/>
  <c r="C5" i="7" s="1"/>
  <c r="C34" i="5"/>
  <c r="F34" i="4"/>
  <c r="E4" i="7" s="1"/>
  <c r="E34" i="4"/>
  <c r="D4" i="7" s="1"/>
  <c r="D34" i="4"/>
  <c r="C4" i="7" s="1"/>
  <c r="C34" i="4"/>
  <c r="G34" i="4" l="1"/>
  <c r="B4" i="7"/>
  <c r="C6" i="7"/>
  <c r="F16" i="7" s="1"/>
  <c r="G34" i="6"/>
  <c r="B5" i="7"/>
  <c r="F15" i="7" s="1"/>
  <c r="G34" i="5"/>
  <c r="B2" i="7"/>
  <c r="G33" i="2"/>
  <c r="F13" i="7"/>
  <c r="C13" i="7" s="1"/>
  <c r="E9" i="7"/>
  <c r="E16" i="7" l="1"/>
  <c r="D16" i="7"/>
  <c r="C9" i="7"/>
  <c r="C16" i="7"/>
  <c r="B15" i="7"/>
  <c r="D15" i="7"/>
  <c r="B9" i="7"/>
  <c r="F14" i="7"/>
  <c r="B14" i="7"/>
  <c r="F12" i="7"/>
  <c r="B12" i="7" s="1"/>
  <c r="B16" i="7"/>
  <c r="E15" i="7"/>
  <c r="C15" i="7"/>
  <c r="D13" i="7"/>
  <c r="B13" i="7"/>
  <c r="E13" i="7"/>
  <c r="D12" i="7"/>
  <c r="E12" i="7"/>
  <c r="C12" i="7"/>
  <c r="D9" i="7"/>
  <c r="E14" i="7" l="1"/>
  <c r="C14" i="7"/>
  <c r="D14" i="7"/>
</calcChain>
</file>

<file path=xl/sharedStrings.xml><?xml version="1.0" encoding="utf-8"?>
<sst xmlns="http://schemas.openxmlformats.org/spreadsheetml/2006/main" count="2439" uniqueCount="240">
  <si>
    <t>Q4</t>
  </si>
  <si>
    <t>Q5</t>
  </si>
  <si>
    <t>Q15</t>
  </si>
  <si>
    <t>QID39</t>
  </si>
  <si>
    <t>QID30</t>
  </si>
  <si>
    <t>QID114</t>
  </si>
  <si>
    <t>QID105</t>
  </si>
  <si>
    <t>QID96</t>
  </si>
  <si>
    <t>What is your age?</t>
  </si>
  <si>
    <t>What is your highest level of education?</t>
  </si>
  <si>
    <t>Please select the domain that best describes your current occupation:</t>
  </si>
  <si>
    <t>Ethan and Kevin are discussing their friends:
Kevin: I was like, for fuck's sake Mary, you've gotta buy all this shopping because I bought you that pizza. I bought you that glass of wine and the bus fare.
Ethan: Mm.
Kevin: "Oh yeah of course, no worries."
Ethan: Yeah.
Kevin: Cos she's generous.
Ethan: Yeah.
Kevin: She's generous but she'll just never-
Ethan: She's just a bit scatty.
Kevin: Yeah.
Ethan: Which is the same as Jenny. You know, money isn't an issue, she's not tight. She just isn't engaged on the same planet.
Kevin: Yeah.
What do you think is conveyed by Ethan in the underlined text?</t>
  </si>
  <si>
    <t>Leah and Simon are discussing their future plans:
Leah: Yeah, we'll see. I just want to go and have some adventures.
Simon: I don't blame you. You only live once, don't you? You're only on this planet for a certain amount of time. Just go and experience it and enjoy the time.
Leah: Mm-hm.
Simon: Perhaps have memories if you live long enough, if you don't at least you enjoyed yourself.
Leah: That's the idea.
What do you think is conveyed by Simon in the underlined text?</t>
  </si>
  <si>
    <t>Deepthi and Marcus are discussing what they learnt about physics in primary school:
Marcus: Mercury, Venus, Earth, Mars, Jupiter, Saturn, Uranus, Neptune
Deepthi: What were you doing, in terms of planets?
Marcus: Well she just wanted us to remember.
Deepthi: But why?
Marcus: I don't know.
Deepthi: When I was little we also learnt Pluto but they've got rid of that now. They said it was too small to be a planet.
Marcus: Pluto?
Deepthi: I was alive when it was.
Marcus: It was when you were born, Pluto?
Deepthi: It was thought of as a planet.
What do you think is conveyed by Deepthi in the underlined text?</t>
  </si>
  <si>
    <t>Miguel and Brigitte are discussing some documentaries Brigitte watched recently:
Brigitte: The first one was looking at the effects on health and the second one was looking at the effects on the environment.
Miguel: Ah mm.
Brigitte: And to me, it was very impressive because-
Miguel: I heard about this.
Brigitte: It wasn't saying 'xyz', it was talking to lots of different people who have done different studies and some of them contradicted each other, you know.
Miguel: Mm.
Brigitte: And quite a lot of it was "well actually we don't we're not quite sure about this yet."
Miguel: Right.
Brigitte: But the general consensus was, the planet would be better if more people ate more vegetables and fewer less meat.
Miguel: Yeah yeah yeah.
Brigitte: And most people's health would be better if they ate less meat than they do.
What do you think is conveyed by Brigitte in the underlined text?</t>
  </si>
  <si>
    <t>Murphy and Leo are discussing their views on London:
Murphy: I lived in London for about six months and didn't like how vast it was.
Leo: How old were you? Was that a long time?
Murphy: Ah, it was, it was when I was eighteen, sorry, eighteen years ago.
Leo: It's interesting cos I used to work for Helen.
Murphy: Aha.
Leo: A long time ago. And I worked at their office for about six months actually, and I hated London.
Murphy: Really?
Leo: With a passion. I think it's just dirty. I think it's the loneliest place on the planet, where so many people seem to be around.
Murphy: Yeah, yeah.
What do you think is conveyed by Leo in the underlined text?</t>
  </si>
  <si>
    <t>45 - 54</t>
  </si>
  <si>
    <t>Master’s Degree (e.g. MA. MSc)</t>
  </si>
  <si>
    <t>Sales and Marketing</t>
  </si>
  <si>
    <t/>
  </si>
  <si>
    <t>their teacher said Pluto wasn't big enough to be a planet</t>
  </si>
  <si>
    <t>25 - 34</t>
  </si>
  <si>
    <t>GCSE/O-level</t>
  </si>
  <si>
    <t>Finance and Banking</t>
  </si>
  <si>
    <t>35 - 44</t>
  </si>
  <si>
    <t>Bachelors Degree (e.g BA, BSc)</t>
  </si>
  <si>
    <t>Unemployed</t>
  </si>
  <si>
    <t>That the documentary suggested that the rate of climate change could be improved by cutting down meat consumption</t>
  </si>
  <si>
    <t>Vocational Qualifications (e.g. NVQs, BTEC)</t>
  </si>
  <si>
    <t>Information Technology and Software Development</t>
  </si>
  <si>
    <t>55 - 64</t>
  </si>
  <si>
    <t>Higher National Certificate/higher National Diploma</t>
  </si>
  <si>
    <t>Leo had a hard time living in London</t>
  </si>
  <si>
    <t>Engineering and Manufacturing</t>
  </si>
  <si>
    <t>In the underlined text, Simon is saying that life is short, and while it’s great to make memories if you live long enough, the important thing is to enjoy life now, even if you don’t live for a long time.</t>
  </si>
  <si>
    <t>Nonprofit and Social Services</t>
  </si>
  <si>
    <t>He’s rude about people behind their back</t>
  </si>
  <si>
    <t>A-levels/Highers</t>
  </si>
  <si>
    <t>Retired</t>
  </si>
  <si>
    <t>Simon is suggesting to ‘live for the day’ that it, enjoy yourself each day as none of us know how long we shall live for</t>
  </si>
  <si>
    <t>Retail and Customer Service</t>
  </si>
  <si>
    <t>Law and Legal Services</t>
  </si>
  <si>
    <t>Education and Training</t>
  </si>
  <si>
    <t>London is very isolating</t>
  </si>
  <si>
    <t>Healthcare and Medicine</t>
  </si>
  <si>
    <t xml:space="preserve">He really dislikes London, and is saying that even though there are lots of people there, it is a really lonely place, or at least it was lonely for him. </t>
  </si>
  <si>
    <t>Consulting and Business Services</t>
  </si>
  <si>
    <t>Government and Public Administration</t>
  </si>
  <si>
    <t>That people should eat less meat for the planet</t>
  </si>
  <si>
    <t>Your life has a limited time span.</t>
  </si>
  <si>
    <t>Eating less meat is better for the planet and people</t>
  </si>
  <si>
    <t xml:space="preserve">That the meat industry and overproduction of meat is a leading cause for climate change </t>
  </si>
  <si>
    <t>Deepthi provided a reason .</t>
  </si>
  <si>
    <t xml:space="preserve">We don't live forever </t>
  </si>
  <si>
    <t xml:space="preserve">To enjoy life while you can </t>
  </si>
  <si>
    <t>Arts and Humanities</t>
  </si>
  <si>
    <t xml:space="preserve">that Jenny is a little scatter brained </t>
  </si>
  <si>
    <t>Construction and Skilled Trades</t>
  </si>
  <si>
    <t>She is relating what she heard in the documentary</t>
  </si>
  <si>
    <t>A justification as to why he hated London to make Murphy understand why he feels this way.</t>
  </si>
  <si>
    <t>Life is short</t>
  </si>
  <si>
    <t>London is lonely</t>
  </si>
  <si>
    <t>65 - 74</t>
  </si>
  <si>
    <t>Transportation and Logistics</t>
  </si>
  <si>
    <t>18 - 24</t>
  </si>
  <si>
    <t>she doesnt think the same way</t>
  </si>
  <si>
    <t>pluto is not a planet as too small</t>
  </si>
  <si>
    <t xml:space="preserve">More factual </t>
  </si>
  <si>
    <t>that the planet was too small to be counted amongst the rest.</t>
  </si>
  <si>
    <t>Media  and Entertainment</t>
  </si>
  <si>
    <t>The documentary suggested that the world would be a better place if more people were vegetarian.</t>
  </si>
  <si>
    <t xml:space="preserve">That London is too big and unfriendly </t>
  </si>
  <si>
    <t>london is isolative</t>
  </si>
  <si>
    <t>Secondary School/No formal qualifications</t>
  </si>
  <si>
    <t>You can't talk to Jenny sensibly</t>
  </si>
  <si>
    <t>Energy and Utilities</t>
  </si>
  <si>
    <t>That pluto used to be a planet buit isnt now as it is too small</t>
  </si>
  <si>
    <t>75 - 84</t>
  </si>
  <si>
    <t xml:space="preserve">Environmental aspects Wouk£ be better if people decreased meat eating to protect the planet and are more vegetables </t>
  </si>
  <si>
    <t>Student</t>
  </si>
  <si>
    <t>That you should go out and experience the world, as life is short.</t>
  </si>
  <si>
    <t>Shes a bit of an air head, not very smart</t>
  </si>
  <si>
    <t>life is short</t>
  </si>
  <si>
    <t>He saying she isn't stingy with her money</t>
  </si>
  <si>
    <t>People's diets need to change to incoporate more veg and less meat as it's healthier. Too many people are eating meat excessively.</t>
  </si>
  <si>
    <t>To go have fun and experiences</t>
  </si>
  <si>
    <t>According to the study, eating vegetables and less meat is better for the environment</t>
  </si>
  <si>
    <t xml:space="preserve">He only worked in London for 6 months. He thought it was a lonely place because there where so many people, but the where all strangers just getting on with there lives. </t>
  </si>
  <si>
    <t>he doesnt like london</t>
  </si>
  <si>
    <t>I think Leo is saying he was very lonely when he was in London</t>
  </si>
  <si>
    <t xml:space="preserve">Live life to the fullest </t>
  </si>
  <si>
    <t xml:space="preserve">Sesotho is explains why Pluto is no longer considered to be a planet due to its size, which is too small for a planet </t>
  </si>
  <si>
    <t>Deepthi is showing a display of understanding of recent updates regarding the planet pluto</t>
  </si>
  <si>
    <t>Science and Research</t>
  </si>
  <si>
    <t>Ethan is trying to state that she doesn't put in the effort when spending on him</t>
  </si>
  <si>
    <t>you should do what you want, be adventerous because you don't live forever</t>
  </si>
  <si>
    <t>It wasn't big enough to be classed as a planet</t>
  </si>
  <si>
    <t>That they should be eating less meat to help save the planet</t>
  </si>
  <si>
    <t>That she is not practical</t>
  </si>
  <si>
    <t>Brigitte learned that the Earth's environmental issues could be improved if humans reduced their meat consumption.</t>
  </si>
  <si>
    <t>That money isnt something she actively thinks about in any goven moment</t>
  </si>
  <si>
    <t>pluto does not extist?</t>
  </si>
  <si>
    <t xml:space="preserve">That the environmental impact of eating meat is greater than eating vegetables </t>
  </si>
  <si>
    <t>She doesn’t get things like money - a bit flighty and not aerious</t>
  </si>
  <si>
    <t xml:space="preserve">His friend is not fully engaged and grounded in the ‘real world’- she’s ditzy and acts in unusual ways. </t>
  </si>
  <si>
    <t>Hospitality and Tourism</t>
  </si>
  <si>
    <t>It is hard to make social connections in London outside of work.</t>
  </si>
  <si>
    <t>Deepthi is referring to an unnamed authority that judged Pluto to be too small to be classed as a planet.</t>
  </si>
  <si>
    <t xml:space="preserve">Life is short so live whilst you can </t>
  </si>
  <si>
    <t>That Leo thinks London is the loneliest place on the planet and who particularly doesn't like it</t>
  </si>
  <si>
    <t xml:space="preserve">that Jenny doesn't think the same way  as other people </t>
  </si>
  <si>
    <t>He disagrees with the reclassification of Pluto</t>
  </si>
  <si>
    <t>saving the planet</t>
  </si>
  <si>
    <t>That we are only here on a temporary basis and must make the most of it.</t>
  </si>
  <si>
    <t>Jenny doesn't follow the social norms.</t>
  </si>
  <si>
    <t>I think by “isn’t engaged on the same planet” Ethan means she has unrealistic expectations compared to him, so it feels like she’s on another planet sometimes</t>
  </si>
  <si>
    <t>Leo is saying his impression about not having any connections despite of having so busy city many people around</t>
  </si>
  <si>
    <t>Meaning she doesn't recognise the societal expectations around roles and responsibilities</t>
  </si>
  <si>
    <t>Deepthi must have a refined sense of the absurd. I honestly cannot get anything out of that, no matter how many times I read it.</t>
  </si>
  <si>
    <t>Agriculture and Environmental Services</t>
  </si>
  <si>
    <t>Brigitte is elaborating on the one point that the researchers of the documentary she was watching agree on which is the impact that meat has on the planet hence they encourage people consume more vegetables than meat for the benefit of everyone.</t>
  </si>
  <si>
    <t>THAT PLUTO WAS NOT IMPORTANT BECAUSE IT WAS SMALLER THAN THE REST OF THE PLANETS. THAT HE KNEW MORE THAN MARCUS</t>
  </si>
  <si>
    <t xml:space="preserve">that meat eating is bad for the environment </t>
  </si>
  <si>
    <t>I think its the loneliest place on the planet</t>
  </si>
  <si>
    <t>He felt lonely</t>
  </si>
  <si>
    <t>Things change and get reclassified, but they sound bit disappointed</t>
  </si>
  <si>
    <t>That Pluto is no longer classified as a planet due to its small size</t>
  </si>
  <si>
    <t>London is a vast place and can seem really lonely even though it is full of other people.</t>
  </si>
  <si>
    <t xml:space="preserve">life is short so make the most of everyday. </t>
  </si>
  <si>
    <t xml:space="preserve">Leo is saying he feels that London is the limiest place on the planet </t>
  </si>
  <si>
    <t>He's trying to explain that Pluto used to be thought of as a planet but no longer is</t>
  </si>
  <si>
    <t>that Mary doesn't really give much thought to her actions or their consequences</t>
  </si>
  <si>
    <t>They are reiterating a fact which was taught to them.</t>
  </si>
  <si>
    <t>Doctorate (e.g. PhD, EdD)</t>
  </si>
  <si>
    <t>She offers a general conclusion of the research conducted, but not a conclusive one.</t>
  </si>
  <si>
    <t>Leo is expressing that even though London is swimming with people, he feels alone perhaps alluding to people not being friendly.</t>
  </si>
  <si>
    <t xml:space="preserve">She is explaining the main takeaway from the documentary as the other arguments contradicted each other. </t>
  </si>
  <si>
    <t>Time is fleeting and some experiences are worth having young and by all so do it now and worry about the consequences later.</t>
  </si>
  <si>
    <t>That the planet's environment will be better if we ate more vegetables and less meat</t>
  </si>
  <si>
    <t>sharing knowledge to his friend, that he might not be aware of.</t>
  </si>
  <si>
    <t xml:space="preserve">Life is short. </t>
  </si>
  <si>
    <t>Enjoy yourself because you only live a certain amount of time</t>
  </si>
  <si>
    <t>That people are only on this planet for a certain amount of time therefore Leah should go and have some adventures and create memories.</t>
  </si>
  <si>
    <t>That although there are varying opinions about the subject, Brigitte believes in the benefits of the production and consumption of less meat</t>
  </si>
  <si>
    <t>Foundation Degree</t>
  </si>
  <si>
    <t>he didn't integrate properly and failed to make friends or have a decent social life</t>
  </si>
  <si>
    <t>Ethan is trying not to agree with what Kevin is saying by not really answering but then kind of sticking up for Mary by saying she is just a bit scatty. He then doesn't really engage much when talking about Jenny.</t>
  </si>
  <si>
    <t>That people eating less meat and more vegetables would help the planet by reducing global wamring and climate change</t>
  </si>
  <si>
    <t>Promotion of sustainable and ethical living</t>
  </si>
  <si>
    <t>That Mary isn't on the same planet as everyone else</t>
  </si>
  <si>
    <t>Life is short.</t>
  </si>
  <si>
    <t>That London is a lonely place to live.</t>
  </si>
  <si>
    <t xml:space="preserve">He is saying how their other friends don't put the same amount of commitment as he does for the friendships. </t>
  </si>
  <si>
    <t>They felt lonely when they lived in London.</t>
  </si>
  <si>
    <t>That people have different perceptions of money, particularly if you are quite comfortable you might not think about the burden other people paying for you might put on them</t>
  </si>
  <si>
    <t>Ethan is displaying contempt</t>
  </si>
  <si>
    <t>She is saying the impact on the environment would be less if more people are vegetarians.</t>
  </si>
  <si>
    <t>That the planet would be better is people ate more vegetables and less meat.</t>
  </si>
  <si>
    <t>Although there are many people in London, it can be very lonely for people new to the city</t>
  </si>
  <si>
    <t>Simon is conveying that life is short and you do not know what the near future holds so you should live for the moment.</t>
  </si>
  <si>
    <t>That you may aswell just enjoy things and try not to worry so much about the uncertainty of what may or may not be</t>
  </si>
  <si>
    <t>She's not quite with it. She's kind of living in her own day dream.</t>
  </si>
  <si>
    <t xml:space="preserve">Getting someone else’s opinion while having a strong one of his own. </t>
  </si>
  <si>
    <t>Leo was emphasising how lonely he felt when he lived in London.</t>
  </si>
  <si>
    <t>Leo is remarking on his dislike of London. He considers it a lonely place, probably because he was unhappy whilst working there.</t>
  </si>
  <si>
    <t xml:space="preserve">That even though there are many people that live there, people don't really associate with each other </t>
  </si>
  <si>
    <t>you are only alive for a short time so you may as well enjoy it</t>
  </si>
  <si>
    <t>He is saying that people should make the most of their time while their alive as life is finite.  It's his perspective of how short life can be for some people so in his opinion to embrace whatever comes along.</t>
  </si>
  <si>
    <t xml:space="preserve">That both jenny and sarah would never offer to do or pay for something unless they are asked to. They never use their judgement to offer but sont mind if they are asked which isnt always nice for the person doing the asking. </t>
  </si>
  <si>
    <t>He is stating the reason that Pluto was downgraded from being a planet, but he doesn't really feel that it is justified.</t>
  </si>
  <si>
    <t>Simon is stating that life is finite.</t>
  </si>
  <si>
    <t>That Pluto used to be a planet and now isnt</t>
  </si>
  <si>
    <t xml:space="preserve">brigitte watched a documentary and the message of the documentary is that if we eat less meat its better for the planet but also shes skeptical </t>
  </si>
  <si>
    <t>That we should be thinking more about the environment and one solution would be to eat more vegetables instead of meat</t>
  </si>
  <si>
    <t>giving someone elses opinion on the planet pluto</t>
  </si>
  <si>
    <t>That Pluto used to be a planet, and maybe he's old.</t>
  </si>
  <si>
    <t>That pluto is no longer regarded as a planet as it has been classified as too small.</t>
  </si>
  <si>
    <t xml:space="preserve">Pluto is a dwarf planet apparently </t>
  </si>
  <si>
    <t>That he has knowledge of certain events</t>
  </si>
  <si>
    <t>a fact about the planet</t>
  </si>
  <si>
    <t>he is calling out jenny saying shes not engaged in another planet</t>
  </si>
  <si>
    <t>she doesnt realise that she is going over board with stuff</t>
  </si>
  <si>
    <t>That Jenny doesn't really think the same as they do.  They are being quite negative towards them, and that Jenny should be spending more on them</t>
  </si>
  <si>
    <t xml:space="preserve">she just isn't engaged on the same planet </t>
  </si>
  <si>
    <t xml:space="preserve">you're only on this planet for a certain amount of time </t>
  </si>
  <si>
    <t>they said it was too small to be a planet</t>
  </si>
  <si>
    <t xml:space="preserve"> the planet would be better if more people ate more vegetables and fewer less meat.</t>
  </si>
  <si>
    <t>d1</t>
  </si>
  <si>
    <t>d2</t>
  </si>
  <si>
    <t>d3</t>
  </si>
  <si>
    <t>d4</t>
  </si>
  <si>
    <t>d5</t>
  </si>
  <si>
    <t>Column1</t>
  </si>
  <si>
    <t>totals</t>
  </si>
  <si>
    <t>Implying that Mary Does not have the same economic restrictions that most people in their social circle have</t>
  </si>
  <si>
    <t>That scientists have decided Pluto is not a planet</t>
  </si>
  <si>
    <t>The teachers advised Pluto used to be a planet but due to being small isn't anymore</t>
  </si>
  <si>
    <t xml:space="preserve">QUD: </t>
  </si>
  <si>
    <t>Why does Mary behave this way regarding money and generosity?</t>
  </si>
  <si>
    <t>Comment</t>
  </si>
  <si>
    <t>Certainty</t>
  </si>
  <si>
    <t>SIT</t>
  </si>
  <si>
    <t>INF</t>
  </si>
  <si>
    <t>EVA</t>
  </si>
  <si>
    <t>paraphrase</t>
  </si>
  <si>
    <t>inference</t>
  </si>
  <si>
    <t>broader discourse thing</t>
  </si>
  <si>
    <t>weird inference</t>
  </si>
  <si>
    <t>attributing emotion</t>
  </si>
  <si>
    <t>more important is an inference</t>
  </si>
  <si>
    <t>beyond dps, within discourse</t>
  </si>
  <si>
    <t>not being aware is an inference</t>
  </si>
  <si>
    <t>him being old is inference</t>
  </si>
  <si>
    <t xml:space="preserve">attributing emotion </t>
  </si>
  <si>
    <t>too manuy people eatingmeat is an inference</t>
  </si>
  <si>
    <t>beyond dps</t>
  </si>
  <si>
    <t xml:space="preserve">kind of an inference of the utterance, but definitely seen in the rest of the dialogue </t>
  </si>
  <si>
    <t>not said, inference</t>
  </si>
  <si>
    <t>alluding is a good sign of an inference</t>
  </si>
  <si>
    <t>evaluation of speaker</t>
  </si>
  <si>
    <t>beyond  DPS but within   discourse</t>
  </si>
  <si>
    <t>unrealistic expectations is an inference</t>
  </si>
  <si>
    <t xml:space="preserve">attitude ascription </t>
  </si>
  <si>
    <t>QUD</t>
  </si>
  <si>
    <t>Why does Leah want to go and have adventures?</t>
  </si>
  <si>
    <t>making the most = ES</t>
  </si>
  <si>
    <t>doing what ever you want is an inference</t>
  </si>
  <si>
    <t>not worrying about the consequences is an inference</t>
  </si>
  <si>
    <t>worrying is an implicature</t>
  </si>
  <si>
    <t>Why isn't Pluto considered a planet anymore?</t>
  </si>
  <si>
    <t>What was the main message or conclusion of the documentaries?</t>
  </si>
  <si>
    <t>QUD:</t>
  </si>
  <si>
    <t>What is it like to live in London?</t>
  </si>
  <si>
    <t>dps</t>
  </si>
  <si>
    <t>sit</t>
  </si>
  <si>
    <t>inf</t>
  </si>
  <si>
    <r>
      <t>make the most of it”</t>
    </r>
    <r>
      <rPr>
        <sz val="11"/>
        <color indexed="8"/>
        <rFont val="Aptos Narrow"/>
        <family val="2"/>
        <scheme val="minor"/>
      </rPr>
      <t xml:space="preserve"> is </t>
    </r>
    <r>
      <rPr>
        <b/>
        <sz val="11"/>
        <color indexed="8"/>
        <rFont val="Aptos Narrow"/>
        <family val="2"/>
        <scheme val="minor"/>
      </rPr>
      <t>explicitly endorsed later in the dialogue</t>
    </r>
    <r>
      <rPr>
        <sz val="11"/>
        <color indexed="8"/>
        <rFont val="Aptos Narrow"/>
        <family val="2"/>
        <scheme val="minor"/>
      </rPr>
      <t xml:space="preserve"> (e.g., “that’s the idea”) supports the interpretation that it's not just an unstated implication (INF), but part of the </t>
    </r>
    <r>
      <rPr>
        <b/>
        <sz val="11"/>
        <color indexed="8"/>
        <rFont val="Aptos Narrow"/>
        <family val="2"/>
        <scheme val="minor"/>
      </rPr>
      <t>structured trajectory</t>
    </r>
    <r>
      <rPr>
        <sz val="11"/>
        <color indexed="8"/>
        <rFont val="Aptos Narrow"/>
        <family val="2"/>
        <scheme val="minor"/>
      </rPr>
      <t xml:space="preserve"> of the conversation. It reflects a </t>
    </r>
    <r>
      <rPr>
        <b/>
        <sz val="11"/>
        <color indexed="8"/>
        <rFont val="Aptos Narrow"/>
        <family val="2"/>
        <scheme val="minor"/>
      </rPr>
      <t>shared pragmatic orientation</t>
    </r>
    <r>
      <rPr>
        <sz val="11"/>
        <color indexed="8"/>
        <rFont val="Aptos Narrow"/>
        <family val="2"/>
        <scheme val="minor"/>
      </rPr>
      <t>: Simon proposes a view, and Leah ratifies it, reinforcing that it's part of the joint reasoning or framing, which is characteristic of SIT.</t>
    </r>
  </si>
  <si>
    <t>PAR</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</si>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</sst>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indexed="8"/>
      <name val="Aptos Narrow"/>
      <family val="2"/>
      <scheme val="minor"/>
    </font>
    <font>
      <b/>
      <sz val="11"/>
      <color indexed="8"/>
      <name val="Aptos Narrow"/>
      <family val="2"/>
      <scheme val="minor"/>
    </font>
    <font>
      <sz val="8"/>
      <name val="Aptos Narrow"/>
      <family val="2"/>
      <scheme val="minor"/>
    </font>
    <font>
      <i/>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9" fontId="0" fillId="0" borderId="0" xfId="1" applyFont="1"/>
    <xf numFmtId="0" fontId="2" fillId="0" borderId="0" xfId="0" applyFont="1"/>
    <xf numFmtId="0" fontId="0" fillId="0" borderId="0" xfId="0" applyAlignment="1">
      <alignment wrapText="1"/>
    </xf>
    <xf numFmtId="0" fontId="0" fillId="0" borderId="0" xfId="0" applyAlignment="1">
      <alignment vertical="top" wrapText="1"/>
    </xf>
    <xf numFmtId="0" fontId="0" fillId="0" borderId="0" xfId="1" applyNumberFormat="1" applyFont="1"/>
    <xf numFmtId="0" fontId="0" fillId="4" borderId="0" xfId="0" applyFill="1"/>
    <xf numFmtId="0" fontId="0" fillId="4" borderId="0" xfId="0" applyFill="1" applyAlignment="1">
      <alignment wrapText="1"/>
    </xf>
    <xf numFmtId="49" fontId="0" fillId="5" borderId="0" xfId="0" applyNumberFormat="1" applyFill="1" applyAlignment="1">
      <alignment wrapText="1"/>
    </xf>
    <xf numFmtId="49" fontId="0" fillId="0" borderId="0" xfId="0" applyNumberFormat="1" applyAlignment="1">
      <alignment vertical="top" wrapText="1"/>
    </xf>
    <xf numFmtId="0" fontId="0" fillId="0" borderId="0" xfId="0" applyAlignment="1">
      <alignment vertical="top"/>
      <extLst>
        <ext xmlns:xfpb="http://schemas.microsoft.com/office/spreadsheetml/2022/featurepropertybag" uri="{C7286773-470A-42A8-94C5-96B5CB345126}">
          <xfpb:xfComplement i="0"/>
        </ext>
      </extLst>
    </xf>
    <xf numFmtId="0" fontId="4" fillId="0" borderId="0" xfId="0" applyFont="1" applyAlignment="1">
      <alignment vertical="top" wrapText="1"/>
    </xf>
    <xf numFmtId="0" fontId="0" fillId="2" borderId="0" xfId="0" applyFill="1" applyAlignment="1">
      <alignment vertical="top" wrapText="1"/>
    </xf>
  </cellXfs>
  <cellStyles count="2">
    <cellStyle name="Normal" xfId="0" builtinId="0"/>
    <cellStyle name="Per cent" xfId="1"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C84A8D-6F02-469C-B606-E27AA51830AA}" name="Table6" displayName="Table6" ref="A1:E6" totalsRowShown="0">
  <autoFilter ref="A1:E6" xr:uid="{9EC84A8D-6F02-469C-B606-E27AA51830AA}"/>
  <tableColumns count="5">
    <tableColumn id="1" xr3:uid="{33EF7C6A-ACB4-4D07-8468-7B7E63AFC142}" name="Column1"/>
    <tableColumn id="2" xr3:uid="{AA54477C-6F19-45B8-9C09-C37D171DCE34}" name="PAR"/>
    <tableColumn id="3" xr3:uid="{2E4E4FF0-B813-4637-BD4A-A02DA89C1581}" name="SIT"/>
    <tableColumn id="4" xr3:uid="{3E13FA6F-4508-4ED6-9C33-8AC8850A98BC}" name="INF"/>
    <tableColumn id="5" xr3:uid="{C8CA6945-F992-4622-89D8-6B97A1F8D1B3}"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D0D909-2F82-4D50-9C32-953F839720CE}" name="Table7" displayName="Table7" ref="A8:E9" totalsRowShown="0">
  <autoFilter ref="A8:E9" xr:uid="{41D0D909-2F82-4D50-9C32-953F839720CE}"/>
  <tableColumns count="5">
    <tableColumn id="1" xr3:uid="{D30C88B5-75CA-4D64-A6CD-F99ED4B0869C}" name="totals"/>
    <tableColumn id="2" xr3:uid="{7A870968-3194-4B95-ABED-C2739742C514}" name="PAR">
      <calculatedColumnFormula>SUM(Table6[PAR])</calculatedColumnFormula>
    </tableColumn>
    <tableColumn id="3" xr3:uid="{994ADADE-F884-40B3-9B39-D7044A962D2F}" name="SIT">
      <calculatedColumnFormula>SUM(Table6[SIT])</calculatedColumnFormula>
    </tableColumn>
    <tableColumn id="4" xr3:uid="{931892A3-2A05-4198-B6C0-8EE05BEF8DA4}" name="INF">
      <calculatedColumnFormula>SUM(Table6[INF])</calculatedColumnFormula>
    </tableColumn>
    <tableColumn id="5" xr3:uid="{4DEBB08D-8E87-4062-BD14-A241C48B850A}"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D583B4-EC32-403E-B2D8-6562BA2BA17A}" name="Table69" displayName="Table69" ref="A11:F16" totalsRowShown="0">
  <autoFilter ref="A11:F16" xr:uid="{18D583B4-EC32-403E-B2D8-6562BA2BA17A}"/>
  <tableColumns count="6">
    <tableColumn id="1" xr3:uid="{26CBE80E-739A-49FF-BC1F-FB161EA4FB5E}" name="Column1"/>
    <tableColumn id="2" xr3:uid="{4707EE52-9A09-4FB5-B958-500B35445A92}" name="PAR" dataCellStyle="Per cent">
      <calculatedColumnFormula>B2/Table69[[#This Row],[totals]]</calculatedColumnFormula>
    </tableColumn>
    <tableColumn id="3" xr3:uid="{C172A71A-0162-44F6-94AA-C87E0D784B20}" name="SIT" dataCellStyle="Per cent">
      <calculatedColumnFormula>C2/Table69[[#This Row],[totals]]</calculatedColumnFormula>
    </tableColumn>
    <tableColumn id="4" xr3:uid="{26C798A3-65A7-416F-A759-D2CB7D3A8169}" name="INF" dataCellStyle="Per cent">
      <calculatedColumnFormula>D2/Table69[[#This Row],[totals]]</calculatedColumnFormula>
    </tableColumn>
    <tableColumn id="5" xr3:uid="{89B3A2A2-8797-4971-984A-E0561E5974A2}" name="EVA" dataCellStyle="Per cent">
      <calculatedColumnFormula>E2/Table69[[#This Row],[totals]]</calculatedColumnFormula>
    </tableColumn>
    <tableColumn id="6" xr3:uid="{B7B0C413-A1C7-4B61-BA99-D635C905A817}" name="totals" dataDxfId="5" dataCellStyle="Per cent">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1"/>
  <sheetViews>
    <sheetView workbookViewId="0">
      <selection sqref="A1:A1048576"/>
    </sheetView>
  </sheetViews>
  <sheetFormatPr defaultRowHeight="14.75" x14ac:dyDescent="0.75"/>
  <cols>
    <col min="4" max="4" width="36.953125" customWidth="1"/>
    <col min="5" max="5" width="46.6328125" customWidth="1"/>
    <col min="6" max="6" width="37.2265625" customWidth="1"/>
    <col min="7" max="7" width="42.54296875" customWidth="1"/>
    <col min="8" max="8" width="48.406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19</v>
      </c>
      <c r="F3" s="1" t="s">
        <v>20</v>
      </c>
      <c r="G3" s="1" t="s">
        <v>19</v>
      </c>
      <c r="H3" s="1" t="s">
        <v>19</v>
      </c>
    </row>
    <row r="4" spans="1:8" ht="44.25" x14ac:dyDescent="0.75">
      <c r="A4" s="1" t="s">
        <v>21</v>
      </c>
      <c r="B4" s="1" t="s">
        <v>22</v>
      </c>
      <c r="C4" s="1" t="s">
        <v>23</v>
      </c>
      <c r="D4" s="1" t="s">
        <v>19</v>
      </c>
      <c r="E4" s="1" t="s">
        <v>19</v>
      </c>
      <c r="F4" s="1" t="s">
        <v>19</v>
      </c>
      <c r="G4" s="1" t="s">
        <v>19</v>
      </c>
      <c r="H4" s="1" t="s">
        <v>19</v>
      </c>
    </row>
    <row r="5" spans="1:8" ht="59" x14ac:dyDescent="0.75">
      <c r="A5" s="1" t="s">
        <v>24</v>
      </c>
      <c r="B5" s="1" t="s">
        <v>25</v>
      </c>
      <c r="C5" s="1" t="s">
        <v>26</v>
      </c>
      <c r="D5" s="1" t="s">
        <v>19</v>
      </c>
      <c r="E5" s="1" t="s">
        <v>19</v>
      </c>
      <c r="F5" s="1" t="s">
        <v>19</v>
      </c>
      <c r="G5" s="1" t="s">
        <v>27</v>
      </c>
      <c r="H5" s="1" t="s">
        <v>19</v>
      </c>
    </row>
    <row r="6" spans="1:8" ht="103.25" x14ac:dyDescent="0.75">
      <c r="A6" s="1" t="s">
        <v>24</v>
      </c>
      <c r="B6" s="1" t="s">
        <v>28</v>
      </c>
      <c r="C6" s="1" t="s">
        <v>29</v>
      </c>
      <c r="D6" s="1" t="s">
        <v>19</v>
      </c>
      <c r="E6" s="1" t="s">
        <v>19</v>
      </c>
      <c r="F6" s="1" t="s">
        <v>19</v>
      </c>
      <c r="G6" s="1" t="s">
        <v>19</v>
      </c>
      <c r="H6" s="1" t="s">
        <v>19</v>
      </c>
    </row>
    <row r="7" spans="1:8" ht="103.25" x14ac:dyDescent="0.75">
      <c r="A7" s="1" t="s">
        <v>30</v>
      </c>
      <c r="B7" s="1" t="s">
        <v>31</v>
      </c>
      <c r="C7" s="1" t="s">
        <v>29</v>
      </c>
      <c r="D7" s="1" t="s">
        <v>19</v>
      </c>
      <c r="E7" s="1" t="s">
        <v>19</v>
      </c>
      <c r="F7" s="1" t="s">
        <v>19</v>
      </c>
      <c r="G7" s="1" t="s">
        <v>19</v>
      </c>
      <c r="H7" s="1" t="s">
        <v>32</v>
      </c>
    </row>
    <row r="8" spans="1:8" ht="59" x14ac:dyDescent="0.75">
      <c r="A8" s="1" t="s">
        <v>21</v>
      </c>
      <c r="B8" s="1" t="s">
        <v>25</v>
      </c>
      <c r="C8" s="1" t="s">
        <v>33</v>
      </c>
      <c r="D8" s="1" t="s">
        <v>19</v>
      </c>
      <c r="E8" s="1" t="s">
        <v>34</v>
      </c>
      <c r="F8" s="1" t="s">
        <v>19</v>
      </c>
      <c r="G8" s="1" t="s">
        <v>19</v>
      </c>
      <c r="H8" s="1" t="s">
        <v>19</v>
      </c>
    </row>
    <row r="9" spans="1:8" ht="59" x14ac:dyDescent="0.75">
      <c r="A9" s="1" t="s">
        <v>21</v>
      </c>
      <c r="B9" s="1" t="s">
        <v>25</v>
      </c>
      <c r="C9" s="1" t="s">
        <v>35</v>
      </c>
      <c r="D9" s="1" t="s">
        <v>36</v>
      </c>
      <c r="E9" s="1" t="s">
        <v>19</v>
      </c>
      <c r="F9" s="1" t="s">
        <v>19</v>
      </c>
      <c r="G9" s="1" t="s">
        <v>19</v>
      </c>
      <c r="H9" s="1" t="s">
        <v>19</v>
      </c>
    </row>
    <row r="10" spans="1:8" ht="59" x14ac:dyDescent="0.75">
      <c r="A10" s="1" t="s">
        <v>30</v>
      </c>
      <c r="B10" s="1" t="s">
        <v>17</v>
      </c>
      <c r="C10" s="1" t="s">
        <v>33</v>
      </c>
      <c r="D10" s="1" t="s">
        <v>19</v>
      </c>
      <c r="E10" s="1" t="s">
        <v>19</v>
      </c>
      <c r="F10" s="1" t="s">
        <v>19</v>
      </c>
      <c r="G10" s="1" t="s">
        <v>19</v>
      </c>
      <c r="H10" s="1" t="s">
        <v>19</v>
      </c>
    </row>
    <row r="11" spans="1:8" ht="59" x14ac:dyDescent="0.75">
      <c r="A11" s="1" t="s">
        <v>24</v>
      </c>
      <c r="B11" s="1" t="s">
        <v>37</v>
      </c>
      <c r="C11" s="1" t="s">
        <v>35</v>
      </c>
      <c r="D11" s="1" t="s">
        <v>19</v>
      </c>
      <c r="E11" s="1" t="s">
        <v>19</v>
      </c>
      <c r="F11" s="1" t="s">
        <v>19</v>
      </c>
      <c r="G11" s="1" t="s">
        <v>19</v>
      </c>
      <c r="H11" s="1" t="s">
        <v>19</v>
      </c>
    </row>
    <row r="12" spans="1:8" ht="44.25" x14ac:dyDescent="0.75">
      <c r="A12" s="1" t="s">
        <v>30</v>
      </c>
      <c r="B12" s="1" t="s">
        <v>37</v>
      </c>
      <c r="C12" s="1" t="s">
        <v>38</v>
      </c>
      <c r="D12" s="1" t="s">
        <v>19</v>
      </c>
      <c r="E12" s="1" t="s">
        <v>39</v>
      </c>
      <c r="F12" s="1" t="s">
        <v>19</v>
      </c>
      <c r="G12" s="1" t="s">
        <v>19</v>
      </c>
      <c r="H12" s="1" t="s">
        <v>19</v>
      </c>
    </row>
    <row r="13" spans="1:8" ht="59" x14ac:dyDescent="0.75">
      <c r="A13" s="1" t="s">
        <v>30</v>
      </c>
      <c r="B13" s="1" t="s">
        <v>25</v>
      </c>
      <c r="C13" s="1" t="s">
        <v>38</v>
      </c>
      <c r="D13" s="1" t="s">
        <v>19</v>
      </c>
      <c r="E13" s="1" t="s">
        <v>19</v>
      </c>
      <c r="F13" s="1" t="s">
        <v>19</v>
      </c>
      <c r="G13" s="1" t="s">
        <v>19</v>
      </c>
      <c r="H13" s="1" t="s">
        <v>19</v>
      </c>
    </row>
    <row r="14" spans="1:8" ht="59" x14ac:dyDescent="0.75">
      <c r="A14" s="1" t="s">
        <v>24</v>
      </c>
      <c r="B14" s="1" t="s">
        <v>25</v>
      </c>
      <c r="C14" s="1" t="s">
        <v>40</v>
      </c>
      <c r="D14" s="1" t="s">
        <v>19</v>
      </c>
      <c r="E14" s="1" t="s">
        <v>19</v>
      </c>
      <c r="F14" s="1" t="s">
        <v>19</v>
      </c>
      <c r="G14" s="1" t="s">
        <v>19</v>
      </c>
      <c r="H14" s="1" t="s">
        <v>19</v>
      </c>
    </row>
    <row r="15" spans="1:8" ht="88.5" x14ac:dyDescent="0.75">
      <c r="A15" s="1" t="s">
        <v>24</v>
      </c>
      <c r="B15" s="1" t="s">
        <v>28</v>
      </c>
      <c r="C15" s="1" t="s">
        <v>41</v>
      </c>
      <c r="D15" s="1" t="s">
        <v>19</v>
      </c>
      <c r="E15" s="1" t="s">
        <v>19</v>
      </c>
      <c r="F15" s="1" t="s">
        <v>19</v>
      </c>
      <c r="G15" s="1" t="s">
        <v>19</v>
      </c>
      <c r="H15" s="1" t="s">
        <v>19</v>
      </c>
    </row>
    <row r="16" spans="1:8" ht="59" x14ac:dyDescent="0.75">
      <c r="A16" s="1" t="s">
        <v>21</v>
      </c>
      <c r="B16" s="1" t="s">
        <v>25</v>
      </c>
      <c r="C16" s="1" t="s">
        <v>42</v>
      </c>
      <c r="D16" s="1" t="s">
        <v>19</v>
      </c>
      <c r="E16" s="1" t="s">
        <v>19</v>
      </c>
      <c r="F16" s="1" t="s">
        <v>19</v>
      </c>
      <c r="G16" s="1" t="s">
        <v>19</v>
      </c>
      <c r="H16" s="1" t="s">
        <v>43</v>
      </c>
    </row>
    <row r="17" spans="1:8" ht="29.5" x14ac:dyDescent="0.75">
      <c r="A17" s="1" t="s">
        <v>24</v>
      </c>
      <c r="B17" s="1" t="s">
        <v>22</v>
      </c>
      <c r="C17" s="1" t="s">
        <v>26</v>
      </c>
      <c r="D17" s="1" t="s">
        <v>19</v>
      </c>
      <c r="E17" s="1" t="s">
        <v>19</v>
      </c>
      <c r="F17" s="1" t="s">
        <v>19</v>
      </c>
      <c r="G17" s="1" t="s">
        <v>19</v>
      </c>
      <c r="H17" s="1" t="s">
        <v>19</v>
      </c>
    </row>
    <row r="18" spans="1:8" ht="59" x14ac:dyDescent="0.75">
      <c r="A18" s="1" t="s">
        <v>24</v>
      </c>
      <c r="B18" s="1" t="s">
        <v>25</v>
      </c>
      <c r="C18" s="1" t="s">
        <v>44</v>
      </c>
      <c r="D18" s="1" t="s">
        <v>19</v>
      </c>
      <c r="E18" s="1" t="s">
        <v>19</v>
      </c>
      <c r="F18" s="1" t="s">
        <v>19</v>
      </c>
      <c r="G18" s="1" t="s">
        <v>19</v>
      </c>
      <c r="H18" s="1" t="s">
        <v>45</v>
      </c>
    </row>
    <row r="19" spans="1:8" ht="59" x14ac:dyDescent="0.75">
      <c r="A19" s="1" t="s">
        <v>21</v>
      </c>
      <c r="B19" s="1" t="s">
        <v>17</v>
      </c>
      <c r="C19" s="1" t="s">
        <v>46</v>
      </c>
      <c r="D19" s="1" t="s">
        <v>19</v>
      </c>
      <c r="E19" s="1" t="s">
        <v>19</v>
      </c>
      <c r="F19" s="1" t="s">
        <v>19</v>
      </c>
      <c r="G19" s="1" t="s">
        <v>19</v>
      </c>
      <c r="H19" s="1" t="s">
        <v>19</v>
      </c>
    </row>
    <row r="20" spans="1:8" ht="73.75" x14ac:dyDescent="0.75">
      <c r="A20" s="1" t="s">
        <v>21</v>
      </c>
      <c r="B20" s="1" t="s">
        <v>17</v>
      </c>
      <c r="C20" s="1" t="s">
        <v>47</v>
      </c>
      <c r="D20" s="1" t="s">
        <v>19</v>
      </c>
      <c r="E20" s="1" t="s">
        <v>19</v>
      </c>
      <c r="F20" s="1" t="s">
        <v>19</v>
      </c>
      <c r="G20" s="1" t="s">
        <v>19</v>
      </c>
      <c r="H20" s="1" t="s">
        <v>19</v>
      </c>
    </row>
    <row r="21" spans="1:8" ht="73.75" x14ac:dyDescent="0.75">
      <c r="A21" s="1" t="s">
        <v>24</v>
      </c>
      <c r="B21" s="1" t="s">
        <v>25</v>
      </c>
      <c r="C21" s="1" t="s">
        <v>47</v>
      </c>
      <c r="D21" s="1" t="s">
        <v>19</v>
      </c>
      <c r="E21" s="1" t="s">
        <v>19</v>
      </c>
      <c r="F21" s="1" t="s">
        <v>19</v>
      </c>
      <c r="G21" s="1" t="s">
        <v>19</v>
      </c>
      <c r="H21" s="1" t="s">
        <v>19</v>
      </c>
    </row>
    <row r="22" spans="1:8" ht="88.5" x14ac:dyDescent="0.75">
      <c r="A22" s="1" t="s">
        <v>24</v>
      </c>
      <c r="B22" s="1" t="s">
        <v>28</v>
      </c>
      <c r="C22" s="1" t="s">
        <v>41</v>
      </c>
      <c r="D22" s="1" t="s">
        <v>19</v>
      </c>
      <c r="E22" s="1" t="s">
        <v>19</v>
      </c>
      <c r="F22" s="1" t="s">
        <v>19</v>
      </c>
      <c r="G22" s="1" t="s">
        <v>48</v>
      </c>
      <c r="H22" s="1" t="s">
        <v>19</v>
      </c>
    </row>
    <row r="23" spans="1:8" ht="59" x14ac:dyDescent="0.75">
      <c r="A23" s="1" t="s">
        <v>21</v>
      </c>
      <c r="B23" s="1" t="s">
        <v>25</v>
      </c>
      <c r="C23" s="1" t="s">
        <v>42</v>
      </c>
      <c r="D23" s="1" t="s">
        <v>19</v>
      </c>
      <c r="E23" s="1" t="s">
        <v>49</v>
      </c>
      <c r="F23" s="1" t="s">
        <v>19</v>
      </c>
      <c r="G23" s="1" t="s">
        <v>19</v>
      </c>
      <c r="H23" s="1" t="s">
        <v>19</v>
      </c>
    </row>
    <row r="24" spans="1:8" ht="59" x14ac:dyDescent="0.75">
      <c r="A24" s="1" t="s">
        <v>21</v>
      </c>
      <c r="B24" s="1" t="s">
        <v>25</v>
      </c>
      <c r="C24" s="1" t="s">
        <v>23</v>
      </c>
      <c r="D24" s="1" t="s">
        <v>19</v>
      </c>
      <c r="E24" s="1" t="s">
        <v>19</v>
      </c>
      <c r="F24" s="1" t="s">
        <v>19</v>
      </c>
      <c r="G24" s="1" t="s">
        <v>19</v>
      </c>
      <c r="H24" s="1" t="s">
        <v>19</v>
      </c>
    </row>
    <row r="25" spans="1:8" ht="44.25" x14ac:dyDescent="0.75">
      <c r="A25" s="1" t="s">
        <v>24</v>
      </c>
      <c r="B25" s="1" t="s">
        <v>37</v>
      </c>
      <c r="C25" s="1" t="s">
        <v>26</v>
      </c>
      <c r="D25" s="1" t="s">
        <v>19</v>
      </c>
      <c r="E25" s="1" t="s">
        <v>19</v>
      </c>
      <c r="F25" s="1" t="s">
        <v>19</v>
      </c>
      <c r="G25" s="1" t="s">
        <v>50</v>
      </c>
      <c r="H25" s="1" t="s">
        <v>19</v>
      </c>
    </row>
    <row r="26" spans="1:8" ht="59" x14ac:dyDescent="0.75">
      <c r="A26" s="1" t="s">
        <v>21</v>
      </c>
      <c r="B26" s="1" t="s">
        <v>25</v>
      </c>
      <c r="C26" s="1" t="s">
        <v>42</v>
      </c>
      <c r="D26" s="1" t="s">
        <v>19</v>
      </c>
      <c r="E26" s="1" t="s">
        <v>19</v>
      </c>
      <c r="F26" s="1" t="s">
        <v>19</v>
      </c>
      <c r="G26" s="1" t="s">
        <v>51</v>
      </c>
      <c r="H26" s="1" t="s">
        <v>19</v>
      </c>
    </row>
    <row r="27" spans="1:8" ht="59" x14ac:dyDescent="0.75">
      <c r="A27" s="1" t="s">
        <v>30</v>
      </c>
      <c r="B27" s="1" t="s">
        <v>25</v>
      </c>
      <c r="C27" s="1" t="s">
        <v>42</v>
      </c>
      <c r="D27" s="1" t="s">
        <v>19</v>
      </c>
      <c r="E27" s="1" t="s">
        <v>19</v>
      </c>
      <c r="F27" s="1" t="s">
        <v>19</v>
      </c>
      <c r="G27" s="1" t="s">
        <v>19</v>
      </c>
      <c r="H27" s="1" t="s">
        <v>19</v>
      </c>
    </row>
    <row r="28" spans="1:8" ht="44.25" x14ac:dyDescent="0.75">
      <c r="A28" s="1" t="s">
        <v>24</v>
      </c>
      <c r="B28" s="1" t="s">
        <v>37</v>
      </c>
      <c r="C28" s="1" t="s">
        <v>26</v>
      </c>
      <c r="D28" s="1" t="s">
        <v>19</v>
      </c>
      <c r="E28" s="1" t="s">
        <v>19</v>
      </c>
      <c r="F28" s="1" t="s">
        <v>52</v>
      </c>
      <c r="G28" s="1" t="s">
        <v>19</v>
      </c>
      <c r="H28" s="1" t="s">
        <v>19</v>
      </c>
    </row>
    <row r="29" spans="1:8" ht="59" x14ac:dyDescent="0.75">
      <c r="A29" s="1" t="s">
        <v>21</v>
      </c>
      <c r="B29" s="1" t="s">
        <v>25</v>
      </c>
      <c r="C29" s="1" t="s">
        <v>42</v>
      </c>
      <c r="D29" s="1" t="s">
        <v>19</v>
      </c>
      <c r="E29" s="1" t="s">
        <v>53</v>
      </c>
      <c r="F29" s="1" t="s">
        <v>19</v>
      </c>
      <c r="G29" s="1" t="s">
        <v>19</v>
      </c>
      <c r="H29" s="1" t="s">
        <v>19</v>
      </c>
    </row>
    <row r="30" spans="1:8" ht="88.5" x14ac:dyDescent="0.75">
      <c r="A30" s="1" t="s">
        <v>21</v>
      </c>
      <c r="B30" s="1" t="s">
        <v>28</v>
      </c>
      <c r="C30" s="1" t="s">
        <v>44</v>
      </c>
      <c r="D30" s="1" t="s">
        <v>19</v>
      </c>
      <c r="E30" s="1" t="s">
        <v>54</v>
      </c>
      <c r="F30" s="1" t="s">
        <v>19</v>
      </c>
      <c r="G30" s="1" t="s">
        <v>19</v>
      </c>
      <c r="H30" s="1" t="s">
        <v>19</v>
      </c>
    </row>
    <row r="31" spans="1:8" ht="59" x14ac:dyDescent="0.75">
      <c r="A31" s="1" t="s">
        <v>24</v>
      </c>
      <c r="B31" s="1" t="s">
        <v>25</v>
      </c>
      <c r="C31" s="1" t="s">
        <v>55</v>
      </c>
      <c r="D31" s="1" t="s">
        <v>56</v>
      </c>
      <c r="E31" s="1" t="s">
        <v>19</v>
      </c>
      <c r="F31" s="1" t="s">
        <v>19</v>
      </c>
      <c r="G31" s="1" t="s">
        <v>19</v>
      </c>
      <c r="H31" s="1" t="s">
        <v>19</v>
      </c>
    </row>
    <row r="32" spans="1:8" ht="103.25" x14ac:dyDescent="0.75">
      <c r="A32" s="1" t="s">
        <v>21</v>
      </c>
      <c r="B32" s="1" t="s">
        <v>28</v>
      </c>
      <c r="C32" s="1" t="s">
        <v>29</v>
      </c>
      <c r="D32" s="1" t="s">
        <v>19</v>
      </c>
      <c r="E32" s="1" t="s">
        <v>19</v>
      </c>
      <c r="F32" s="1" t="s">
        <v>19</v>
      </c>
      <c r="G32" s="1" t="s">
        <v>19</v>
      </c>
      <c r="H32" s="1" t="s">
        <v>19</v>
      </c>
    </row>
    <row r="33" spans="1:8" ht="59" x14ac:dyDescent="0.75">
      <c r="A33" s="1" t="s">
        <v>21</v>
      </c>
      <c r="B33" s="1" t="s">
        <v>25</v>
      </c>
      <c r="C33" s="1" t="s">
        <v>42</v>
      </c>
      <c r="D33" s="1" t="s">
        <v>19</v>
      </c>
      <c r="E33" s="1" t="s">
        <v>19</v>
      </c>
      <c r="F33" s="1" t="s">
        <v>19</v>
      </c>
      <c r="G33" s="1" t="s">
        <v>19</v>
      </c>
      <c r="H33" s="1" t="s">
        <v>19</v>
      </c>
    </row>
    <row r="34" spans="1:8" ht="59" x14ac:dyDescent="0.75">
      <c r="A34" s="1" t="s">
        <v>21</v>
      </c>
      <c r="B34" s="1" t="s">
        <v>22</v>
      </c>
      <c r="C34" s="1" t="s">
        <v>57</v>
      </c>
      <c r="D34" s="1" t="s">
        <v>19</v>
      </c>
      <c r="E34" s="1" t="s">
        <v>19</v>
      </c>
      <c r="F34" s="1" t="s">
        <v>19</v>
      </c>
      <c r="G34" s="1" t="s">
        <v>19</v>
      </c>
      <c r="H34" s="1" t="s">
        <v>19</v>
      </c>
    </row>
    <row r="35" spans="1:8" ht="59" x14ac:dyDescent="0.75">
      <c r="A35" s="1" t="s">
        <v>24</v>
      </c>
      <c r="B35" s="1" t="s">
        <v>25</v>
      </c>
      <c r="C35" s="1" t="s">
        <v>26</v>
      </c>
      <c r="D35" s="1" t="s">
        <v>19</v>
      </c>
      <c r="E35" s="1" t="s">
        <v>19</v>
      </c>
      <c r="F35" s="1" t="s">
        <v>19</v>
      </c>
      <c r="G35" s="1" t="s">
        <v>58</v>
      </c>
      <c r="H35" s="1" t="s">
        <v>19</v>
      </c>
    </row>
    <row r="36" spans="1:8" ht="59" x14ac:dyDescent="0.75">
      <c r="A36" s="1" t="s">
        <v>24</v>
      </c>
      <c r="B36" s="1" t="s">
        <v>25</v>
      </c>
      <c r="C36" s="1" t="s">
        <v>42</v>
      </c>
      <c r="D36" s="1" t="s">
        <v>19</v>
      </c>
      <c r="E36" s="1" t="s">
        <v>19</v>
      </c>
      <c r="F36" s="1" t="s">
        <v>19</v>
      </c>
      <c r="G36" s="1" t="s">
        <v>19</v>
      </c>
      <c r="H36" s="1" t="s">
        <v>19</v>
      </c>
    </row>
    <row r="37" spans="1:8" ht="88.5" x14ac:dyDescent="0.75">
      <c r="A37" s="1" t="s">
        <v>21</v>
      </c>
      <c r="B37" s="1" t="s">
        <v>28</v>
      </c>
      <c r="C37" s="1" t="s">
        <v>40</v>
      </c>
      <c r="D37" s="1" t="s">
        <v>19</v>
      </c>
      <c r="E37" s="1" t="s">
        <v>19</v>
      </c>
      <c r="F37" s="1" t="s">
        <v>19</v>
      </c>
      <c r="G37" s="1" t="s">
        <v>19</v>
      </c>
      <c r="H37" s="1" t="s">
        <v>59</v>
      </c>
    </row>
    <row r="38" spans="1:8" ht="59" x14ac:dyDescent="0.75">
      <c r="A38" s="1" t="s">
        <v>24</v>
      </c>
      <c r="B38" s="1" t="s">
        <v>17</v>
      </c>
      <c r="C38" s="1" t="s">
        <v>35</v>
      </c>
      <c r="D38" s="1" t="s">
        <v>19</v>
      </c>
      <c r="E38" s="1" t="s">
        <v>60</v>
      </c>
      <c r="F38" s="1" t="s">
        <v>19</v>
      </c>
      <c r="G38" s="1" t="s">
        <v>19</v>
      </c>
      <c r="H38" s="1" t="s">
        <v>19</v>
      </c>
    </row>
    <row r="39" spans="1:8" ht="59" x14ac:dyDescent="0.75">
      <c r="A39" s="1" t="s">
        <v>21</v>
      </c>
      <c r="B39" s="1" t="s">
        <v>25</v>
      </c>
      <c r="C39" s="1" t="s">
        <v>41</v>
      </c>
      <c r="D39" s="1" t="s">
        <v>19</v>
      </c>
      <c r="E39" s="1" t="s">
        <v>19</v>
      </c>
      <c r="F39" s="1" t="s">
        <v>19</v>
      </c>
      <c r="G39" s="1" t="s">
        <v>19</v>
      </c>
      <c r="H39" s="1" t="s">
        <v>61</v>
      </c>
    </row>
    <row r="40" spans="1:8" ht="44.25" x14ac:dyDescent="0.75">
      <c r="A40" s="1" t="s">
        <v>62</v>
      </c>
      <c r="B40" s="1" t="s">
        <v>22</v>
      </c>
      <c r="C40" s="1" t="s">
        <v>63</v>
      </c>
      <c r="D40" s="1" t="s">
        <v>19</v>
      </c>
      <c r="E40" s="1" t="s">
        <v>19</v>
      </c>
      <c r="F40" s="1" t="s">
        <v>19</v>
      </c>
      <c r="G40" s="1" t="s">
        <v>19</v>
      </c>
      <c r="H40" s="1" t="s">
        <v>19</v>
      </c>
    </row>
    <row r="41" spans="1:8" ht="59" x14ac:dyDescent="0.75">
      <c r="A41" s="1" t="s">
        <v>16</v>
      </c>
      <c r="B41" s="1" t="s">
        <v>25</v>
      </c>
      <c r="C41" s="1" t="s">
        <v>63</v>
      </c>
      <c r="D41" s="1" t="s">
        <v>19</v>
      </c>
      <c r="E41" s="1" t="s">
        <v>19</v>
      </c>
      <c r="F41" s="1" t="s">
        <v>19</v>
      </c>
      <c r="G41" s="1" t="s">
        <v>19</v>
      </c>
      <c r="H41" s="1" t="s">
        <v>19</v>
      </c>
    </row>
    <row r="42" spans="1:8" ht="59" x14ac:dyDescent="0.75">
      <c r="A42" s="1" t="s">
        <v>64</v>
      </c>
      <c r="B42" s="1" t="s">
        <v>37</v>
      </c>
      <c r="C42" s="1" t="s">
        <v>40</v>
      </c>
      <c r="D42" s="1" t="s">
        <v>19</v>
      </c>
      <c r="E42" s="1" t="s">
        <v>19</v>
      </c>
      <c r="F42" s="1" t="s">
        <v>19</v>
      </c>
      <c r="G42" s="1" t="s">
        <v>19</v>
      </c>
      <c r="H42" s="1" t="s">
        <v>19</v>
      </c>
    </row>
    <row r="43" spans="1:8" ht="29.5" x14ac:dyDescent="0.75">
      <c r="A43" s="1" t="s">
        <v>30</v>
      </c>
      <c r="B43" s="1" t="s">
        <v>22</v>
      </c>
      <c r="C43" s="1" t="s">
        <v>38</v>
      </c>
      <c r="D43" s="1" t="s">
        <v>19</v>
      </c>
      <c r="E43" s="1" t="s">
        <v>19</v>
      </c>
      <c r="F43" s="1" t="s">
        <v>19</v>
      </c>
      <c r="G43" s="1" t="s">
        <v>19</v>
      </c>
      <c r="H43" s="1" t="s">
        <v>19</v>
      </c>
    </row>
    <row r="44" spans="1:8" ht="59" x14ac:dyDescent="0.75">
      <c r="A44" s="1" t="s">
        <v>16</v>
      </c>
      <c r="B44" s="1" t="s">
        <v>25</v>
      </c>
      <c r="C44" s="1" t="s">
        <v>40</v>
      </c>
      <c r="D44" s="1" t="s">
        <v>65</v>
      </c>
      <c r="E44" s="1" t="s">
        <v>19</v>
      </c>
      <c r="F44" s="1" t="s">
        <v>19</v>
      </c>
      <c r="G44" s="1" t="s">
        <v>19</v>
      </c>
      <c r="H44" s="1" t="s">
        <v>19</v>
      </c>
    </row>
    <row r="45" spans="1:8" ht="103.25" x14ac:dyDescent="0.75">
      <c r="A45" s="1" t="s">
        <v>24</v>
      </c>
      <c r="B45" s="1" t="s">
        <v>25</v>
      </c>
      <c r="C45" s="1" t="s">
        <v>29</v>
      </c>
      <c r="D45" s="1" t="s">
        <v>19</v>
      </c>
      <c r="E45" s="1" t="s">
        <v>19</v>
      </c>
      <c r="F45" s="1" t="s">
        <v>66</v>
      </c>
      <c r="G45" s="1" t="s">
        <v>19</v>
      </c>
      <c r="H45" s="1" t="s">
        <v>19</v>
      </c>
    </row>
    <row r="46" spans="1:8" ht="29.5" x14ac:dyDescent="0.75">
      <c r="A46" s="1" t="s">
        <v>24</v>
      </c>
      <c r="B46" s="1" t="s">
        <v>22</v>
      </c>
      <c r="C46" s="1" t="s">
        <v>26</v>
      </c>
      <c r="D46" s="1" t="s">
        <v>19</v>
      </c>
      <c r="E46" s="1" t="s">
        <v>19</v>
      </c>
      <c r="F46" s="1" t="s">
        <v>19</v>
      </c>
      <c r="G46" s="1" t="s">
        <v>19</v>
      </c>
      <c r="H46" s="1" t="s">
        <v>19</v>
      </c>
    </row>
    <row r="47" spans="1:8" ht="59" x14ac:dyDescent="0.75">
      <c r="A47" s="1" t="s">
        <v>21</v>
      </c>
      <c r="B47" s="1" t="s">
        <v>25</v>
      </c>
      <c r="C47" s="1" t="s">
        <v>44</v>
      </c>
      <c r="D47" s="1" t="s">
        <v>19</v>
      </c>
      <c r="E47" s="1" t="s">
        <v>19</v>
      </c>
      <c r="F47" s="1" t="s">
        <v>67</v>
      </c>
      <c r="G47" s="1" t="s">
        <v>19</v>
      </c>
      <c r="H47" s="1" t="s">
        <v>19</v>
      </c>
    </row>
    <row r="48" spans="1:8" ht="88.5" x14ac:dyDescent="0.75">
      <c r="A48" s="1" t="s">
        <v>21</v>
      </c>
      <c r="B48" s="1" t="s">
        <v>28</v>
      </c>
      <c r="C48" s="1" t="s">
        <v>26</v>
      </c>
      <c r="D48" s="1" t="s">
        <v>19</v>
      </c>
      <c r="E48" s="1" t="s">
        <v>19</v>
      </c>
      <c r="F48" s="1" t="s">
        <v>68</v>
      </c>
      <c r="G48" s="1" t="s">
        <v>19</v>
      </c>
      <c r="H48" s="1" t="s">
        <v>19</v>
      </c>
    </row>
    <row r="49" spans="1:8" ht="59" x14ac:dyDescent="0.75">
      <c r="A49" s="1" t="s">
        <v>16</v>
      </c>
      <c r="B49" s="1" t="s">
        <v>37</v>
      </c>
      <c r="C49" s="1" t="s">
        <v>69</v>
      </c>
      <c r="D49" s="1" t="s">
        <v>19</v>
      </c>
      <c r="E49" s="1" t="s">
        <v>19</v>
      </c>
      <c r="F49" s="1" t="s">
        <v>19</v>
      </c>
      <c r="G49" s="1" t="s">
        <v>70</v>
      </c>
      <c r="H49" s="1" t="s">
        <v>19</v>
      </c>
    </row>
    <row r="50" spans="1:8" ht="44.25" x14ac:dyDescent="0.75">
      <c r="A50" s="1" t="s">
        <v>16</v>
      </c>
      <c r="B50" s="1" t="s">
        <v>37</v>
      </c>
      <c r="C50" s="1" t="s">
        <v>42</v>
      </c>
      <c r="D50" s="1" t="s">
        <v>19</v>
      </c>
      <c r="E50" s="1" t="s">
        <v>19</v>
      </c>
      <c r="F50" s="1" t="s">
        <v>19</v>
      </c>
      <c r="G50" s="1" t="s">
        <v>19</v>
      </c>
      <c r="H50" s="1" t="s">
        <v>71</v>
      </c>
    </row>
    <row r="51" spans="1:8" ht="59" x14ac:dyDescent="0.75">
      <c r="A51" s="1" t="s">
        <v>16</v>
      </c>
      <c r="B51" s="1" t="s">
        <v>25</v>
      </c>
      <c r="C51" s="1" t="s">
        <v>42</v>
      </c>
      <c r="D51" s="1" t="s">
        <v>19</v>
      </c>
      <c r="E51" s="1" t="s">
        <v>19</v>
      </c>
      <c r="F51" s="1" t="s">
        <v>19</v>
      </c>
      <c r="G51" s="1" t="s">
        <v>19</v>
      </c>
      <c r="H51" s="1" t="s">
        <v>19</v>
      </c>
    </row>
    <row r="52" spans="1:8" ht="88.5" x14ac:dyDescent="0.75">
      <c r="A52" s="1" t="s">
        <v>21</v>
      </c>
      <c r="B52" s="1" t="s">
        <v>28</v>
      </c>
      <c r="C52" s="1" t="s">
        <v>55</v>
      </c>
      <c r="D52" s="1" t="s">
        <v>19</v>
      </c>
      <c r="E52" s="1" t="s">
        <v>19</v>
      </c>
      <c r="F52" s="1" t="s">
        <v>19</v>
      </c>
      <c r="G52" s="1" t="s">
        <v>19</v>
      </c>
      <c r="H52" s="1" t="s">
        <v>72</v>
      </c>
    </row>
    <row r="53" spans="1:8" ht="59" x14ac:dyDescent="0.75">
      <c r="A53" s="1" t="s">
        <v>24</v>
      </c>
      <c r="B53" s="1" t="s">
        <v>25</v>
      </c>
      <c r="C53" s="1" t="s">
        <v>46</v>
      </c>
      <c r="D53" s="1" t="s">
        <v>19</v>
      </c>
      <c r="E53" s="1" t="s">
        <v>19</v>
      </c>
      <c r="F53" s="1" t="s">
        <v>19</v>
      </c>
      <c r="G53" s="1" t="s">
        <v>19</v>
      </c>
      <c r="H53" s="1" t="s">
        <v>19</v>
      </c>
    </row>
    <row r="54" spans="1:8" ht="88.5" x14ac:dyDescent="0.75">
      <c r="A54" s="1" t="s">
        <v>30</v>
      </c>
      <c r="B54" s="1" t="s">
        <v>73</v>
      </c>
      <c r="C54" s="1" t="s">
        <v>44</v>
      </c>
      <c r="D54" s="1" t="s">
        <v>19</v>
      </c>
      <c r="E54" s="1" t="s">
        <v>19</v>
      </c>
      <c r="F54" s="1" t="s">
        <v>19</v>
      </c>
      <c r="G54" s="1" t="s">
        <v>19</v>
      </c>
      <c r="H54" s="1" t="s">
        <v>19</v>
      </c>
    </row>
    <row r="55" spans="1:8" ht="59" x14ac:dyDescent="0.75">
      <c r="A55" s="1" t="s">
        <v>62</v>
      </c>
      <c r="B55" s="1" t="s">
        <v>25</v>
      </c>
      <c r="C55" s="1" t="s">
        <v>46</v>
      </c>
      <c r="D55" s="1" t="s">
        <v>74</v>
      </c>
      <c r="E55" s="1" t="s">
        <v>19</v>
      </c>
      <c r="F55" s="1" t="s">
        <v>19</v>
      </c>
      <c r="G55" s="1" t="s">
        <v>19</v>
      </c>
      <c r="H55" s="1" t="s">
        <v>19</v>
      </c>
    </row>
    <row r="56" spans="1:8" ht="88.5" x14ac:dyDescent="0.75">
      <c r="A56" s="1" t="s">
        <v>21</v>
      </c>
      <c r="B56" s="1" t="s">
        <v>31</v>
      </c>
      <c r="C56" s="1" t="s">
        <v>75</v>
      </c>
      <c r="D56" s="1" t="s">
        <v>19</v>
      </c>
      <c r="E56" s="1" t="s">
        <v>19</v>
      </c>
      <c r="F56" s="1" t="s">
        <v>76</v>
      </c>
      <c r="G56" s="1" t="s">
        <v>19</v>
      </c>
      <c r="H56" s="1" t="s">
        <v>19</v>
      </c>
    </row>
    <row r="57" spans="1:8" ht="88.5" x14ac:dyDescent="0.75">
      <c r="A57" s="1" t="s">
        <v>24</v>
      </c>
      <c r="B57" s="1" t="s">
        <v>28</v>
      </c>
      <c r="C57" s="1" t="s">
        <v>44</v>
      </c>
      <c r="D57" s="1" t="s">
        <v>19</v>
      </c>
      <c r="E57" s="1" t="s">
        <v>19</v>
      </c>
      <c r="F57" s="1" t="s">
        <v>19</v>
      </c>
      <c r="G57" s="1" t="s">
        <v>19</v>
      </c>
      <c r="H57" s="1" t="s">
        <v>19</v>
      </c>
    </row>
    <row r="58" spans="1:8" ht="29.5" x14ac:dyDescent="0.75">
      <c r="A58" s="1" t="s">
        <v>21</v>
      </c>
      <c r="B58" s="1" t="s">
        <v>22</v>
      </c>
      <c r="C58" s="1" t="s">
        <v>26</v>
      </c>
      <c r="D58" s="1" t="s">
        <v>19</v>
      </c>
      <c r="E58" s="1" t="s">
        <v>19</v>
      </c>
      <c r="F58" s="1" t="s">
        <v>19</v>
      </c>
      <c r="G58" s="1" t="s">
        <v>19</v>
      </c>
      <c r="H58" s="1" t="s">
        <v>19</v>
      </c>
    </row>
    <row r="59" spans="1:8" ht="88.5" x14ac:dyDescent="0.75">
      <c r="A59" s="1" t="s">
        <v>62</v>
      </c>
      <c r="B59" s="1" t="s">
        <v>28</v>
      </c>
      <c r="C59" s="1" t="s">
        <v>38</v>
      </c>
      <c r="D59" s="1" t="s">
        <v>19</v>
      </c>
      <c r="E59" s="1" t="s">
        <v>19</v>
      </c>
      <c r="F59" s="1" t="s">
        <v>19</v>
      </c>
      <c r="G59" s="1" t="s">
        <v>19</v>
      </c>
      <c r="H59" s="1" t="s">
        <v>19</v>
      </c>
    </row>
    <row r="60" spans="1:8" ht="44.25" x14ac:dyDescent="0.75">
      <c r="A60" s="1" t="s">
        <v>77</v>
      </c>
      <c r="B60" s="1" t="s">
        <v>22</v>
      </c>
      <c r="C60" s="1" t="s">
        <v>38</v>
      </c>
      <c r="D60" s="1" t="s">
        <v>19</v>
      </c>
      <c r="E60" s="1" t="s">
        <v>19</v>
      </c>
      <c r="F60" s="1" t="s">
        <v>19</v>
      </c>
      <c r="G60" s="1" t="s">
        <v>78</v>
      </c>
      <c r="H60" s="1" t="s">
        <v>19</v>
      </c>
    </row>
    <row r="61" spans="1:8" ht="59" x14ac:dyDescent="0.75">
      <c r="A61" s="1" t="s">
        <v>64</v>
      </c>
      <c r="B61" s="1" t="s">
        <v>25</v>
      </c>
      <c r="C61" s="1" t="s">
        <v>79</v>
      </c>
      <c r="D61" s="1" t="s">
        <v>19</v>
      </c>
      <c r="E61" s="1" t="s">
        <v>19</v>
      </c>
      <c r="F61" s="1" t="s">
        <v>19</v>
      </c>
      <c r="G61" s="1" t="s">
        <v>19</v>
      </c>
      <c r="H61" s="1" t="s">
        <v>19</v>
      </c>
    </row>
    <row r="62" spans="1:8" ht="44.25" x14ac:dyDescent="0.75">
      <c r="A62" s="1" t="s">
        <v>24</v>
      </c>
      <c r="B62" s="1" t="s">
        <v>22</v>
      </c>
      <c r="C62" s="1" t="s">
        <v>63</v>
      </c>
      <c r="D62" s="1" t="s">
        <v>19</v>
      </c>
      <c r="E62" s="1" t="s">
        <v>19</v>
      </c>
      <c r="F62" s="1" t="s">
        <v>19</v>
      </c>
      <c r="G62" s="1" t="s">
        <v>19</v>
      </c>
      <c r="H62" s="1" t="s">
        <v>19</v>
      </c>
    </row>
    <row r="63" spans="1:8" ht="88.5" x14ac:dyDescent="0.75">
      <c r="A63" s="1" t="s">
        <v>21</v>
      </c>
      <c r="B63" s="1" t="s">
        <v>28</v>
      </c>
      <c r="C63" s="1" t="s">
        <v>26</v>
      </c>
      <c r="D63" s="1" t="s">
        <v>19</v>
      </c>
      <c r="E63" s="1" t="s">
        <v>19</v>
      </c>
      <c r="F63" s="1" t="s">
        <v>19</v>
      </c>
      <c r="G63" s="1" t="s">
        <v>19</v>
      </c>
      <c r="H63" s="1" t="s">
        <v>19</v>
      </c>
    </row>
    <row r="64" spans="1:8" ht="73.75" x14ac:dyDescent="0.75">
      <c r="A64" s="1" t="s">
        <v>16</v>
      </c>
      <c r="B64" s="1" t="s">
        <v>17</v>
      </c>
      <c r="C64" s="1" t="s">
        <v>47</v>
      </c>
      <c r="D64" s="1" t="s">
        <v>19</v>
      </c>
      <c r="E64" s="1" t="s">
        <v>19</v>
      </c>
      <c r="F64" s="1" t="s">
        <v>19</v>
      </c>
      <c r="G64" s="1" t="s">
        <v>19</v>
      </c>
      <c r="H64" s="1" t="s">
        <v>19</v>
      </c>
    </row>
    <row r="65" spans="1:8" ht="59" x14ac:dyDescent="0.75">
      <c r="A65" s="1" t="s">
        <v>64</v>
      </c>
      <c r="B65" s="1" t="s">
        <v>25</v>
      </c>
      <c r="C65" s="1" t="s">
        <v>55</v>
      </c>
      <c r="D65" s="1" t="s">
        <v>19</v>
      </c>
      <c r="E65" s="1" t="s">
        <v>80</v>
      </c>
      <c r="F65" s="1" t="s">
        <v>19</v>
      </c>
      <c r="G65" s="1" t="s">
        <v>19</v>
      </c>
      <c r="H65" s="1" t="s">
        <v>19</v>
      </c>
    </row>
    <row r="66" spans="1:8" ht="59" x14ac:dyDescent="0.75">
      <c r="A66" s="1" t="s">
        <v>21</v>
      </c>
      <c r="B66" s="1" t="s">
        <v>17</v>
      </c>
      <c r="C66" s="1" t="s">
        <v>42</v>
      </c>
      <c r="D66" s="1" t="s">
        <v>19</v>
      </c>
      <c r="E66" s="1" t="s">
        <v>19</v>
      </c>
      <c r="F66" s="1" t="s">
        <v>19</v>
      </c>
      <c r="G66" s="1" t="s">
        <v>19</v>
      </c>
      <c r="H66" s="1" t="s">
        <v>19</v>
      </c>
    </row>
    <row r="67" spans="1:8" ht="59" x14ac:dyDescent="0.75">
      <c r="A67" s="1" t="s">
        <v>21</v>
      </c>
      <c r="B67" s="1" t="s">
        <v>17</v>
      </c>
      <c r="C67" s="1" t="s">
        <v>44</v>
      </c>
      <c r="D67" s="1" t="s">
        <v>19</v>
      </c>
      <c r="E67" s="1" t="s">
        <v>19</v>
      </c>
      <c r="F67" s="1" t="s">
        <v>19</v>
      </c>
      <c r="G67" s="1" t="s">
        <v>19</v>
      </c>
      <c r="H67" s="1" t="s">
        <v>19</v>
      </c>
    </row>
    <row r="68" spans="1:8" ht="44.25" x14ac:dyDescent="0.75">
      <c r="A68" s="1" t="s">
        <v>24</v>
      </c>
      <c r="B68" s="1" t="s">
        <v>22</v>
      </c>
      <c r="C68" s="1" t="s">
        <v>41</v>
      </c>
      <c r="D68" s="1" t="s">
        <v>81</v>
      </c>
      <c r="E68" s="1" t="s">
        <v>19</v>
      </c>
      <c r="F68" s="1" t="s">
        <v>19</v>
      </c>
      <c r="G68" s="1" t="s">
        <v>19</v>
      </c>
      <c r="H68" s="1" t="s">
        <v>19</v>
      </c>
    </row>
    <row r="69" spans="1:8" ht="59" x14ac:dyDescent="0.75">
      <c r="A69" s="1" t="s">
        <v>16</v>
      </c>
      <c r="B69" s="1" t="s">
        <v>17</v>
      </c>
      <c r="C69" s="1" t="s">
        <v>42</v>
      </c>
      <c r="D69" s="1" t="s">
        <v>19</v>
      </c>
      <c r="E69" s="1" t="s">
        <v>82</v>
      </c>
      <c r="F69" s="1" t="s">
        <v>19</v>
      </c>
      <c r="G69" s="1" t="s">
        <v>19</v>
      </c>
      <c r="H69" s="1" t="s">
        <v>19</v>
      </c>
    </row>
    <row r="70" spans="1:8" ht="59" x14ac:dyDescent="0.75">
      <c r="A70" s="1" t="s">
        <v>64</v>
      </c>
      <c r="B70" s="1" t="s">
        <v>17</v>
      </c>
      <c r="C70" s="1" t="s">
        <v>42</v>
      </c>
      <c r="D70" s="1" t="s">
        <v>19</v>
      </c>
      <c r="E70" s="1" t="s">
        <v>19</v>
      </c>
      <c r="F70" s="1" t="s">
        <v>19</v>
      </c>
      <c r="G70" s="1" t="s">
        <v>19</v>
      </c>
      <c r="H70" s="1" t="s">
        <v>19</v>
      </c>
    </row>
    <row r="71" spans="1:8" ht="88.5" x14ac:dyDescent="0.75">
      <c r="A71" s="1" t="s">
        <v>64</v>
      </c>
      <c r="B71" s="1" t="s">
        <v>31</v>
      </c>
      <c r="C71" s="1" t="s">
        <v>18</v>
      </c>
      <c r="D71" s="1" t="s">
        <v>19</v>
      </c>
      <c r="E71" s="1" t="s">
        <v>19</v>
      </c>
      <c r="F71" s="1" t="s">
        <v>19</v>
      </c>
      <c r="G71" s="1" t="s">
        <v>19</v>
      </c>
      <c r="H71" s="1" t="s">
        <v>19</v>
      </c>
    </row>
    <row r="72" spans="1:8" ht="59" x14ac:dyDescent="0.75">
      <c r="A72" s="1" t="s">
        <v>24</v>
      </c>
      <c r="B72" s="1" t="s">
        <v>25</v>
      </c>
      <c r="C72" s="1" t="s">
        <v>42</v>
      </c>
      <c r="D72" s="1" t="s">
        <v>19</v>
      </c>
      <c r="E72" s="1" t="s">
        <v>19</v>
      </c>
      <c r="F72" s="1" t="s">
        <v>19</v>
      </c>
      <c r="G72" s="1" t="s">
        <v>19</v>
      </c>
      <c r="H72" s="1" t="s">
        <v>19</v>
      </c>
    </row>
    <row r="73" spans="1:8" ht="88.5" x14ac:dyDescent="0.75">
      <c r="A73" s="1" t="s">
        <v>24</v>
      </c>
      <c r="B73" s="1" t="s">
        <v>31</v>
      </c>
      <c r="C73" s="1" t="s">
        <v>42</v>
      </c>
      <c r="D73" s="1" t="s">
        <v>19</v>
      </c>
      <c r="E73" s="1" t="s">
        <v>19</v>
      </c>
      <c r="F73" s="1" t="s">
        <v>19</v>
      </c>
      <c r="G73" s="1" t="s">
        <v>19</v>
      </c>
      <c r="H73" s="1" t="s">
        <v>19</v>
      </c>
    </row>
    <row r="74" spans="1:8" ht="88.5" x14ac:dyDescent="0.75">
      <c r="A74" s="1" t="s">
        <v>21</v>
      </c>
      <c r="B74" s="1" t="s">
        <v>73</v>
      </c>
      <c r="C74" s="1" t="s">
        <v>79</v>
      </c>
      <c r="D74" s="1" t="s">
        <v>83</v>
      </c>
      <c r="E74" s="1" t="s">
        <v>19</v>
      </c>
      <c r="F74" s="1" t="s">
        <v>19</v>
      </c>
      <c r="G74" s="1" t="s">
        <v>19</v>
      </c>
      <c r="H74" s="1" t="s">
        <v>19</v>
      </c>
    </row>
    <row r="75" spans="1:8" ht="103.25" x14ac:dyDescent="0.75">
      <c r="A75" s="1" t="s">
        <v>21</v>
      </c>
      <c r="B75" s="1" t="s">
        <v>25</v>
      </c>
      <c r="C75" s="1" t="s">
        <v>29</v>
      </c>
      <c r="D75" s="1" t="s">
        <v>19</v>
      </c>
      <c r="E75" s="1" t="s">
        <v>19</v>
      </c>
      <c r="F75" s="1" t="s">
        <v>19</v>
      </c>
      <c r="G75" s="1" t="s">
        <v>84</v>
      </c>
      <c r="H75" s="1" t="s">
        <v>19</v>
      </c>
    </row>
    <row r="76" spans="1:8" ht="88.5" x14ac:dyDescent="0.75">
      <c r="A76" s="1" t="s">
        <v>24</v>
      </c>
      <c r="B76" s="1" t="s">
        <v>31</v>
      </c>
      <c r="C76" s="1" t="s">
        <v>41</v>
      </c>
      <c r="D76" s="1" t="s">
        <v>19</v>
      </c>
      <c r="E76" s="1" t="s">
        <v>85</v>
      </c>
      <c r="F76" s="1" t="s">
        <v>19</v>
      </c>
      <c r="G76" s="1" t="s">
        <v>19</v>
      </c>
      <c r="H76" s="1" t="s">
        <v>19</v>
      </c>
    </row>
    <row r="77" spans="1:8" ht="59" x14ac:dyDescent="0.75">
      <c r="A77" s="1" t="s">
        <v>21</v>
      </c>
      <c r="B77" s="1" t="s">
        <v>25</v>
      </c>
      <c r="C77" s="1" t="s">
        <v>79</v>
      </c>
      <c r="D77" s="1" t="s">
        <v>19</v>
      </c>
      <c r="E77" s="1" t="s">
        <v>19</v>
      </c>
      <c r="F77" s="1" t="s">
        <v>19</v>
      </c>
      <c r="G77" s="1" t="s">
        <v>19</v>
      </c>
      <c r="H77" s="1" t="s">
        <v>19</v>
      </c>
    </row>
    <row r="78" spans="1:8" ht="59" x14ac:dyDescent="0.75">
      <c r="A78" s="1" t="s">
        <v>64</v>
      </c>
      <c r="B78" s="1" t="s">
        <v>25</v>
      </c>
      <c r="C78" s="1" t="s">
        <v>55</v>
      </c>
      <c r="D78" s="1" t="s">
        <v>19</v>
      </c>
      <c r="E78" s="1" t="s">
        <v>19</v>
      </c>
      <c r="F78" s="1" t="s">
        <v>19</v>
      </c>
      <c r="G78" s="1" t="s">
        <v>86</v>
      </c>
      <c r="H78" s="1" t="s">
        <v>19</v>
      </c>
    </row>
    <row r="79" spans="1:8" ht="88.5" x14ac:dyDescent="0.75">
      <c r="A79" s="1" t="s">
        <v>21</v>
      </c>
      <c r="B79" s="1" t="s">
        <v>31</v>
      </c>
      <c r="C79" s="1" t="s">
        <v>33</v>
      </c>
      <c r="D79" s="1" t="s">
        <v>19</v>
      </c>
      <c r="E79" s="1" t="s">
        <v>19</v>
      </c>
      <c r="F79" s="1" t="s">
        <v>19</v>
      </c>
      <c r="G79" s="1" t="s">
        <v>19</v>
      </c>
      <c r="H79" s="1" t="s">
        <v>19</v>
      </c>
    </row>
    <row r="80" spans="1:8" ht="88.5" x14ac:dyDescent="0.75">
      <c r="A80" s="1" t="s">
        <v>30</v>
      </c>
      <c r="B80" s="1" t="s">
        <v>31</v>
      </c>
      <c r="C80" s="1" t="s">
        <v>42</v>
      </c>
      <c r="D80" s="1" t="s">
        <v>19</v>
      </c>
      <c r="E80" s="1" t="s">
        <v>19</v>
      </c>
      <c r="F80" s="1" t="s">
        <v>19</v>
      </c>
      <c r="G80" s="1" t="s">
        <v>19</v>
      </c>
      <c r="H80" s="1" t="s">
        <v>87</v>
      </c>
    </row>
    <row r="81" spans="1:8" ht="59" x14ac:dyDescent="0.75">
      <c r="A81" s="1" t="s">
        <v>64</v>
      </c>
      <c r="B81" s="1" t="s">
        <v>25</v>
      </c>
      <c r="C81" s="1" t="s">
        <v>18</v>
      </c>
      <c r="D81" s="1" t="s">
        <v>19</v>
      </c>
      <c r="E81" s="1" t="s">
        <v>19</v>
      </c>
      <c r="F81" s="1" t="s">
        <v>19</v>
      </c>
      <c r="G81" s="1" t="s">
        <v>19</v>
      </c>
      <c r="H81" s="1" t="s">
        <v>19</v>
      </c>
    </row>
    <row r="82" spans="1:8" ht="88.5" x14ac:dyDescent="0.75">
      <c r="A82" s="1" t="s">
        <v>30</v>
      </c>
      <c r="B82" s="1" t="s">
        <v>28</v>
      </c>
      <c r="C82" s="1" t="s">
        <v>38</v>
      </c>
      <c r="D82" s="1" t="s">
        <v>19</v>
      </c>
      <c r="E82" s="1" t="s">
        <v>19</v>
      </c>
      <c r="F82" s="1" t="s">
        <v>19</v>
      </c>
      <c r="G82" s="1" t="s">
        <v>19</v>
      </c>
      <c r="H82" s="1" t="s">
        <v>19</v>
      </c>
    </row>
    <row r="83" spans="1:8" ht="88.5" x14ac:dyDescent="0.75">
      <c r="A83" s="1" t="s">
        <v>64</v>
      </c>
      <c r="B83" s="1" t="s">
        <v>31</v>
      </c>
      <c r="C83" s="1" t="s">
        <v>40</v>
      </c>
      <c r="D83" s="1" t="s">
        <v>19</v>
      </c>
      <c r="E83" s="1" t="s">
        <v>19</v>
      </c>
      <c r="F83" s="1" t="s">
        <v>19</v>
      </c>
      <c r="G83" s="1" t="s">
        <v>19</v>
      </c>
      <c r="H83" s="1" t="s">
        <v>19</v>
      </c>
    </row>
    <row r="84" spans="1:8" ht="59" x14ac:dyDescent="0.75">
      <c r="A84" s="1" t="s">
        <v>24</v>
      </c>
      <c r="B84" s="1" t="s">
        <v>17</v>
      </c>
      <c r="C84" s="1" t="s">
        <v>33</v>
      </c>
      <c r="D84" s="1" t="s">
        <v>19</v>
      </c>
      <c r="E84" s="1" t="s">
        <v>19</v>
      </c>
      <c r="F84" s="1" t="s">
        <v>19</v>
      </c>
      <c r="G84" s="1" t="s">
        <v>19</v>
      </c>
      <c r="H84" s="1" t="s">
        <v>19</v>
      </c>
    </row>
    <row r="85" spans="1:8" ht="29.5" x14ac:dyDescent="0.75">
      <c r="A85" s="1" t="s">
        <v>16</v>
      </c>
      <c r="B85" s="1" t="s">
        <v>22</v>
      </c>
      <c r="C85" s="1" t="s">
        <v>38</v>
      </c>
      <c r="D85" s="1" t="s">
        <v>19</v>
      </c>
      <c r="E85" s="1" t="s">
        <v>19</v>
      </c>
      <c r="F85" s="1" t="s">
        <v>19</v>
      </c>
      <c r="G85" s="1" t="s">
        <v>19</v>
      </c>
      <c r="H85" s="1" t="s">
        <v>19</v>
      </c>
    </row>
    <row r="86" spans="1:8" ht="88.5" x14ac:dyDescent="0.75">
      <c r="A86" s="1" t="s">
        <v>16</v>
      </c>
      <c r="B86" s="1" t="s">
        <v>31</v>
      </c>
      <c r="C86" s="1" t="s">
        <v>69</v>
      </c>
      <c r="D86" s="1" t="s">
        <v>19</v>
      </c>
      <c r="E86" s="1" t="s">
        <v>19</v>
      </c>
      <c r="F86" s="1" t="s">
        <v>19</v>
      </c>
      <c r="G86" s="1" t="s">
        <v>19</v>
      </c>
      <c r="H86" s="1" t="s">
        <v>19</v>
      </c>
    </row>
    <row r="87" spans="1:8" ht="59" x14ac:dyDescent="0.75">
      <c r="A87" s="1" t="s">
        <v>16</v>
      </c>
      <c r="B87" s="1" t="s">
        <v>17</v>
      </c>
      <c r="C87" s="1" t="s">
        <v>42</v>
      </c>
      <c r="D87" s="1" t="s">
        <v>19</v>
      </c>
      <c r="E87" s="1" t="s">
        <v>19</v>
      </c>
      <c r="F87" s="1" t="s">
        <v>19</v>
      </c>
      <c r="G87" s="1" t="s">
        <v>19</v>
      </c>
      <c r="H87" s="1" t="s">
        <v>19</v>
      </c>
    </row>
    <row r="88" spans="1:8" ht="44.25" x14ac:dyDescent="0.75">
      <c r="A88" s="1" t="s">
        <v>62</v>
      </c>
      <c r="B88" s="1" t="s">
        <v>37</v>
      </c>
      <c r="C88" s="1" t="s">
        <v>38</v>
      </c>
      <c r="D88" s="1" t="s">
        <v>19</v>
      </c>
      <c r="E88" s="1" t="s">
        <v>19</v>
      </c>
      <c r="F88" s="1" t="s">
        <v>19</v>
      </c>
      <c r="G88" s="1" t="s">
        <v>19</v>
      </c>
      <c r="H88" s="1" t="s">
        <v>19</v>
      </c>
    </row>
    <row r="89" spans="1:8" ht="44.25" x14ac:dyDescent="0.75">
      <c r="A89" s="1" t="s">
        <v>64</v>
      </c>
      <c r="B89" s="1" t="s">
        <v>37</v>
      </c>
      <c r="C89" s="1" t="s">
        <v>63</v>
      </c>
      <c r="D89" s="1" t="s">
        <v>19</v>
      </c>
      <c r="E89" s="1" t="s">
        <v>19</v>
      </c>
      <c r="F89" s="1" t="s">
        <v>19</v>
      </c>
      <c r="G89" s="1" t="s">
        <v>19</v>
      </c>
      <c r="H89" s="1" t="s">
        <v>88</v>
      </c>
    </row>
    <row r="90" spans="1:8" ht="44.25" x14ac:dyDescent="0.75">
      <c r="A90" s="1" t="s">
        <v>64</v>
      </c>
      <c r="B90" s="1" t="s">
        <v>37</v>
      </c>
      <c r="C90" s="1" t="s">
        <v>44</v>
      </c>
      <c r="D90" s="1" t="s">
        <v>19</v>
      </c>
      <c r="E90" s="1" t="s">
        <v>19</v>
      </c>
      <c r="F90" s="1" t="s">
        <v>19</v>
      </c>
      <c r="G90" s="1" t="s">
        <v>19</v>
      </c>
      <c r="H90" s="1" t="s">
        <v>89</v>
      </c>
    </row>
    <row r="91" spans="1:8" ht="88.5" x14ac:dyDescent="0.75">
      <c r="A91" s="1" t="s">
        <v>62</v>
      </c>
      <c r="B91" s="1" t="s">
        <v>73</v>
      </c>
      <c r="C91" s="1" t="s">
        <v>38</v>
      </c>
      <c r="D91" s="1" t="s">
        <v>19</v>
      </c>
      <c r="E91" s="1" t="s">
        <v>90</v>
      </c>
      <c r="F91" s="1" t="s">
        <v>19</v>
      </c>
      <c r="G91" s="1" t="s">
        <v>19</v>
      </c>
      <c r="H91" s="1" t="s">
        <v>19</v>
      </c>
    </row>
    <row r="92" spans="1:8" ht="59" x14ac:dyDescent="0.75">
      <c r="A92" s="1" t="s">
        <v>16</v>
      </c>
      <c r="B92" s="1" t="s">
        <v>17</v>
      </c>
      <c r="C92" s="1" t="s">
        <v>26</v>
      </c>
      <c r="D92" s="1" t="s">
        <v>19</v>
      </c>
      <c r="E92" s="1" t="s">
        <v>19</v>
      </c>
      <c r="F92" s="1" t="s">
        <v>91</v>
      </c>
      <c r="G92" s="1" t="s">
        <v>19</v>
      </c>
      <c r="H92" s="1" t="s">
        <v>19</v>
      </c>
    </row>
    <row r="93" spans="1:8" ht="73.75" x14ac:dyDescent="0.75">
      <c r="A93" s="1" t="s">
        <v>21</v>
      </c>
      <c r="B93" s="1" t="s">
        <v>25</v>
      </c>
      <c r="C93" s="1" t="s">
        <v>47</v>
      </c>
      <c r="D93" s="1" t="s">
        <v>19</v>
      </c>
      <c r="E93" s="1" t="s">
        <v>19</v>
      </c>
      <c r="F93" s="1" t="s">
        <v>92</v>
      </c>
      <c r="G93" s="1" t="s">
        <v>19</v>
      </c>
      <c r="H93" s="1" t="s">
        <v>19</v>
      </c>
    </row>
    <row r="94" spans="1:8" ht="88.5" x14ac:dyDescent="0.75">
      <c r="A94" s="1" t="s">
        <v>24</v>
      </c>
      <c r="B94" s="1" t="s">
        <v>73</v>
      </c>
      <c r="C94" s="1" t="s">
        <v>26</v>
      </c>
      <c r="D94" s="1" t="s">
        <v>19</v>
      </c>
      <c r="E94" s="1" t="s">
        <v>19</v>
      </c>
      <c r="F94" s="1" t="s">
        <v>19</v>
      </c>
      <c r="G94" s="1" t="s">
        <v>19</v>
      </c>
      <c r="H94" s="1" t="s">
        <v>19</v>
      </c>
    </row>
    <row r="95" spans="1:8" ht="59" x14ac:dyDescent="0.75">
      <c r="A95" s="1" t="s">
        <v>21</v>
      </c>
      <c r="B95" s="1" t="s">
        <v>25</v>
      </c>
      <c r="C95" s="1" t="s">
        <v>93</v>
      </c>
      <c r="D95" s="1" t="s">
        <v>19</v>
      </c>
      <c r="E95" s="1" t="s">
        <v>60</v>
      </c>
      <c r="F95" s="1" t="s">
        <v>19</v>
      </c>
      <c r="G95" s="1" t="s">
        <v>19</v>
      </c>
      <c r="H95" s="1" t="s">
        <v>19</v>
      </c>
    </row>
    <row r="96" spans="1:8" ht="44.25" x14ac:dyDescent="0.75">
      <c r="A96" s="1" t="s">
        <v>64</v>
      </c>
      <c r="B96" s="1" t="s">
        <v>37</v>
      </c>
      <c r="C96" s="1" t="s">
        <v>79</v>
      </c>
      <c r="D96" s="1" t="s">
        <v>94</v>
      </c>
      <c r="E96" s="1" t="s">
        <v>19</v>
      </c>
      <c r="F96" s="1" t="s">
        <v>19</v>
      </c>
      <c r="G96" s="1" t="s">
        <v>19</v>
      </c>
      <c r="H96" s="1" t="s">
        <v>19</v>
      </c>
    </row>
    <row r="97" spans="1:8" ht="59" x14ac:dyDescent="0.75">
      <c r="A97" s="1" t="s">
        <v>24</v>
      </c>
      <c r="B97" s="1" t="s">
        <v>17</v>
      </c>
      <c r="C97" s="1" t="s">
        <v>55</v>
      </c>
      <c r="D97" s="1" t="s">
        <v>19</v>
      </c>
      <c r="E97" s="1" t="s">
        <v>19</v>
      </c>
      <c r="F97" s="1" t="s">
        <v>19</v>
      </c>
      <c r="G97" s="1" t="s">
        <v>19</v>
      </c>
      <c r="H97" s="1" t="s">
        <v>19</v>
      </c>
    </row>
    <row r="98" spans="1:8" ht="59" x14ac:dyDescent="0.75">
      <c r="A98" s="1" t="s">
        <v>21</v>
      </c>
      <c r="B98" s="1" t="s">
        <v>25</v>
      </c>
      <c r="C98" s="1" t="s">
        <v>57</v>
      </c>
      <c r="D98" s="1" t="s">
        <v>19</v>
      </c>
      <c r="E98" s="1" t="s">
        <v>19</v>
      </c>
      <c r="F98" s="1" t="s">
        <v>19</v>
      </c>
      <c r="G98" s="1" t="s">
        <v>19</v>
      </c>
      <c r="H98" s="1" t="s">
        <v>19</v>
      </c>
    </row>
    <row r="99" spans="1:8" ht="44.25" x14ac:dyDescent="0.75">
      <c r="A99" s="1" t="s">
        <v>64</v>
      </c>
      <c r="B99" s="1" t="s">
        <v>37</v>
      </c>
      <c r="C99" s="1" t="s">
        <v>79</v>
      </c>
      <c r="D99" s="1" t="s">
        <v>19</v>
      </c>
      <c r="E99" s="1" t="s">
        <v>95</v>
      </c>
      <c r="F99" s="1" t="s">
        <v>19</v>
      </c>
      <c r="G99" s="1" t="s">
        <v>19</v>
      </c>
      <c r="H99" s="1" t="s">
        <v>19</v>
      </c>
    </row>
    <row r="100" spans="1:8" ht="59" x14ac:dyDescent="0.75">
      <c r="A100" s="1" t="s">
        <v>21</v>
      </c>
      <c r="B100" s="1" t="s">
        <v>25</v>
      </c>
      <c r="C100" s="1" t="s">
        <v>23</v>
      </c>
      <c r="D100" s="1" t="s">
        <v>19</v>
      </c>
      <c r="E100" s="1" t="s">
        <v>19</v>
      </c>
      <c r="F100" s="1" t="s">
        <v>96</v>
      </c>
      <c r="G100" s="1" t="s">
        <v>19</v>
      </c>
      <c r="H100" s="1" t="s">
        <v>19</v>
      </c>
    </row>
    <row r="101" spans="1:8" ht="103.25" x14ac:dyDescent="0.75">
      <c r="A101" s="1" t="s">
        <v>24</v>
      </c>
      <c r="B101" s="1" t="s">
        <v>25</v>
      </c>
      <c r="C101" s="1" t="s">
        <v>29</v>
      </c>
      <c r="D101" s="1" t="s">
        <v>19</v>
      </c>
      <c r="E101" s="1" t="s">
        <v>19</v>
      </c>
      <c r="F101" s="1" t="s">
        <v>19</v>
      </c>
      <c r="G101" s="1" t="s">
        <v>19</v>
      </c>
      <c r="H101" s="1" t="s">
        <v>19</v>
      </c>
    </row>
    <row r="102" spans="1:8" ht="59" x14ac:dyDescent="0.75">
      <c r="A102" s="1" t="s">
        <v>24</v>
      </c>
      <c r="B102" s="1" t="s">
        <v>25</v>
      </c>
      <c r="C102" s="1" t="s">
        <v>42</v>
      </c>
      <c r="D102" s="1" t="s">
        <v>19</v>
      </c>
      <c r="E102" s="1" t="s">
        <v>19</v>
      </c>
      <c r="F102" s="1" t="s">
        <v>19</v>
      </c>
      <c r="G102" s="1" t="s">
        <v>97</v>
      </c>
      <c r="H102" s="1" t="s">
        <v>19</v>
      </c>
    </row>
    <row r="103" spans="1:8" ht="88.5" x14ac:dyDescent="0.75">
      <c r="A103" s="1" t="s">
        <v>21</v>
      </c>
      <c r="B103" s="1" t="s">
        <v>31</v>
      </c>
      <c r="C103" s="1" t="s">
        <v>79</v>
      </c>
      <c r="D103" s="1" t="s">
        <v>19</v>
      </c>
      <c r="E103" s="1" t="s">
        <v>19</v>
      </c>
      <c r="F103" s="1" t="s">
        <v>19</v>
      </c>
      <c r="G103" s="1" t="s">
        <v>19</v>
      </c>
      <c r="H103" s="1" t="s">
        <v>19</v>
      </c>
    </row>
    <row r="104" spans="1:8" ht="59" x14ac:dyDescent="0.75">
      <c r="A104" s="1" t="s">
        <v>21</v>
      </c>
      <c r="B104" s="1" t="s">
        <v>37</v>
      </c>
      <c r="C104" s="1" t="s">
        <v>33</v>
      </c>
      <c r="D104" s="1" t="s">
        <v>19</v>
      </c>
      <c r="E104" s="1" t="s">
        <v>19</v>
      </c>
      <c r="F104" s="1" t="s">
        <v>19</v>
      </c>
      <c r="G104" s="1" t="s">
        <v>19</v>
      </c>
      <c r="H104" s="1" t="s">
        <v>19</v>
      </c>
    </row>
    <row r="105" spans="1:8" ht="88.5" x14ac:dyDescent="0.75">
      <c r="A105" s="1" t="s">
        <v>30</v>
      </c>
      <c r="B105" s="1" t="s">
        <v>28</v>
      </c>
      <c r="C105" s="1" t="s">
        <v>26</v>
      </c>
      <c r="D105" s="1" t="s">
        <v>19</v>
      </c>
      <c r="E105" s="1" t="s">
        <v>19</v>
      </c>
      <c r="F105" s="1" t="s">
        <v>19</v>
      </c>
      <c r="G105" s="1" t="s">
        <v>19</v>
      </c>
      <c r="H105" s="1" t="s">
        <v>19</v>
      </c>
    </row>
    <row r="106" spans="1:8" ht="44.25" x14ac:dyDescent="0.75">
      <c r="A106" s="1" t="s">
        <v>16</v>
      </c>
      <c r="B106" s="1" t="s">
        <v>22</v>
      </c>
      <c r="C106" s="1" t="s">
        <v>44</v>
      </c>
      <c r="D106" s="1" t="s">
        <v>19</v>
      </c>
      <c r="E106" s="1" t="s">
        <v>19</v>
      </c>
      <c r="F106" s="1" t="s">
        <v>19</v>
      </c>
      <c r="G106" s="1" t="s">
        <v>19</v>
      </c>
      <c r="H106" s="1" t="s">
        <v>19</v>
      </c>
    </row>
    <row r="107" spans="1:8" ht="59" x14ac:dyDescent="0.75">
      <c r="A107" s="1" t="s">
        <v>21</v>
      </c>
      <c r="B107" s="1" t="s">
        <v>25</v>
      </c>
      <c r="C107" s="1" t="s">
        <v>69</v>
      </c>
      <c r="D107" s="1" t="s">
        <v>19</v>
      </c>
      <c r="E107" s="1" t="s">
        <v>19</v>
      </c>
      <c r="F107" s="1" t="s">
        <v>19</v>
      </c>
      <c r="G107" s="1" t="s">
        <v>19</v>
      </c>
      <c r="H107" s="1" t="s">
        <v>19</v>
      </c>
    </row>
    <row r="108" spans="1:8" ht="29.5" x14ac:dyDescent="0.75">
      <c r="A108" s="1" t="s">
        <v>24</v>
      </c>
      <c r="B108" s="1" t="s">
        <v>22</v>
      </c>
      <c r="C108" s="1" t="s">
        <v>26</v>
      </c>
      <c r="D108" s="1" t="s">
        <v>19</v>
      </c>
      <c r="E108" s="1" t="s">
        <v>19</v>
      </c>
      <c r="F108" s="1" t="s">
        <v>19</v>
      </c>
      <c r="G108" s="1" t="s">
        <v>19</v>
      </c>
      <c r="H108" s="1" t="s">
        <v>19</v>
      </c>
    </row>
    <row r="109" spans="1:8" ht="59" x14ac:dyDescent="0.75">
      <c r="A109" s="1" t="s">
        <v>16</v>
      </c>
      <c r="B109" s="1" t="s">
        <v>25</v>
      </c>
      <c r="C109" s="1" t="s">
        <v>46</v>
      </c>
      <c r="D109" s="1" t="s">
        <v>19</v>
      </c>
      <c r="E109" s="1" t="s">
        <v>19</v>
      </c>
      <c r="F109" s="1" t="s">
        <v>19</v>
      </c>
      <c r="G109" s="1" t="s">
        <v>19</v>
      </c>
      <c r="H109" s="1" t="s">
        <v>19</v>
      </c>
    </row>
    <row r="110" spans="1:8" ht="59" x14ac:dyDescent="0.75">
      <c r="A110" s="1" t="s">
        <v>30</v>
      </c>
      <c r="B110" s="1" t="s">
        <v>25</v>
      </c>
      <c r="C110" s="1" t="s">
        <v>40</v>
      </c>
      <c r="D110" s="1" t="s">
        <v>19</v>
      </c>
      <c r="E110" s="1" t="s">
        <v>19</v>
      </c>
      <c r="F110" s="1" t="s">
        <v>19</v>
      </c>
      <c r="G110" s="1" t="s">
        <v>19</v>
      </c>
      <c r="H110" s="1" t="s">
        <v>19</v>
      </c>
    </row>
    <row r="111" spans="1:8" ht="59" x14ac:dyDescent="0.75">
      <c r="A111" s="1" t="s">
        <v>21</v>
      </c>
      <c r="B111" s="1" t="s">
        <v>25</v>
      </c>
      <c r="C111" s="1" t="s">
        <v>44</v>
      </c>
      <c r="D111" s="1" t="s">
        <v>98</v>
      </c>
      <c r="E111" s="1" t="s">
        <v>19</v>
      </c>
      <c r="F111" s="1" t="s">
        <v>19</v>
      </c>
      <c r="G111" s="1" t="s">
        <v>19</v>
      </c>
      <c r="H111" s="1" t="s">
        <v>19</v>
      </c>
    </row>
    <row r="112" spans="1:8" ht="59" x14ac:dyDescent="0.75">
      <c r="A112" s="1" t="s">
        <v>21</v>
      </c>
      <c r="B112" s="1" t="s">
        <v>25</v>
      </c>
      <c r="C112" s="1" t="s">
        <v>42</v>
      </c>
      <c r="D112" s="1" t="s">
        <v>19</v>
      </c>
      <c r="E112" s="1" t="s">
        <v>19</v>
      </c>
      <c r="F112" s="1" t="s">
        <v>19</v>
      </c>
      <c r="G112" s="1" t="s">
        <v>99</v>
      </c>
      <c r="H112" s="1" t="s">
        <v>19</v>
      </c>
    </row>
    <row r="113" spans="1:8" ht="103.25" x14ac:dyDescent="0.75">
      <c r="A113" s="1" t="s">
        <v>24</v>
      </c>
      <c r="B113" s="1" t="s">
        <v>37</v>
      </c>
      <c r="C113" s="1" t="s">
        <v>29</v>
      </c>
      <c r="D113" s="1" t="s">
        <v>19</v>
      </c>
      <c r="E113" s="1" t="s">
        <v>19</v>
      </c>
      <c r="F113" s="1" t="s">
        <v>19</v>
      </c>
      <c r="G113" s="1" t="s">
        <v>19</v>
      </c>
      <c r="H113" s="1" t="s">
        <v>19</v>
      </c>
    </row>
    <row r="114" spans="1:8" ht="59" x14ac:dyDescent="0.75">
      <c r="A114" s="1" t="s">
        <v>21</v>
      </c>
      <c r="B114" s="1" t="s">
        <v>25</v>
      </c>
      <c r="C114" s="1" t="s">
        <v>33</v>
      </c>
      <c r="D114" s="1" t="s">
        <v>100</v>
      </c>
      <c r="E114" s="1" t="s">
        <v>19</v>
      </c>
      <c r="F114" s="1" t="s">
        <v>19</v>
      </c>
      <c r="G114" s="1" t="s">
        <v>19</v>
      </c>
      <c r="H114" s="1" t="s">
        <v>19</v>
      </c>
    </row>
    <row r="115" spans="1:8" ht="103.25" x14ac:dyDescent="0.75">
      <c r="A115" s="1" t="s">
        <v>16</v>
      </c>
      <c r="B115" s="1" t="s">
        <v>25</v>
      </c>
      <c r="C115" s="1" t="s">
        <v>29</v>
      </c>
      <c r="D115" s="1" t="s">
        <v>19</v>
      </c>
      <c r="E115" s="1" t="s">
        <v>19</v>
      </c>
      <c r="F115" s="1" t="s">
        <v>101</v>
      </c>
      <c r="G115" s="1" t="s">
        <v>19</v>
      </c>
      <c r="H115" s="1" t="s">
        <v>19</v>
      </c>
    </row>
    <row r="116" spans="1:8" ht="29.5" x14ac:dyDescent="0.75">
      <c r="A116" s="1" t="s">
        <v>21</v>
      </c>
      <c r="B116" s="1" t="s">
        <v>22</v>
      </c>
      <c r="C116" s="1" t="s">
        <v>26</v>
      </c>
      <c r="D116" s="1" t="s">
        <v>19</v>
      </c>
      <c r="E116" s="1" t="s">
        <v>19</v>
      </c>
      <c r="F116" s="1" t="s">
        <v>19</v>
      </c>
      <c r="G116" s="1" t="s">
        <v>102</v>
      </c>
      <c r="H116" s="1" t="s">
        <v>19</v>
      </c>
    </row>
    <row r="117" spans="1:8" ht="73.75" x14ac:dyDescent="0.75">
      <c r="A117" s="1" t="s">
        <v>24</v>
      </c>
      <c r="B117" s="1" t="s">
        <v>25</v>
      </c>
      <c r="C117" s="1" t="s">
        <v>47</v>
      </c>
      <c r="D117" s="1" t="s">
        <v>19</v>
      </c>
      <c r="E117" s="1" t="s">
        <v>19</v>
      </c>
      <c r="F117" s="1" t="s">
        <v>19</v>
      </c>
      <c r="G117" s="1" t="s">
        <v>19</v>
      </c>
      <c r="H117" s="1" t="s">
        <v>19</v>
      </c>
    </row>
    <row r="118" spans="1:8" ht="59" x14ac:dyDescent="0.75">
      <c r="A118" s="1" t="s">
        <v>16</v>
      </c>
      <c r="B118" s="1" t="s">
        <v>25</v>
      </c>
      <c r="C118" s="1" t="s">
        <v>42</v>
      </c>
      <c r="D118" s="1" t="s">
        <v>103</v>
      </c>
      <c r="E118" s="1" t="s">
        <v>19</v>
      </c>
      <c r="F118" s="1" t="s">
        <v>19</v>
      </c>
      <c r="G118" s="1" t="s">
        <v>19</v>
      </c>
      <c r="H118" s="1" t="s">
        <v>19</v>
      </c>
    </row>
    <row r="119" spans="1:8" ht="44.25" x14ac:dyDescent="0.75">
      <c r="A119" s="1" t="s">
        <v>64</v>
      </c>
      <c r="B119" s="1" t="s">
        <v>22</v>
      </c>
      <c r="C119" s="1" t="s">
        <v>44</v>
      </c>
      <c r="D119" s="1" t="s">
        <v>19</v>
      </c>
      <c r="E119" s="1" t="s">
        <v>19</v>
      </c>
      <c r="F119" s="1" t="s">
        <v>19</v>
      </c>
      <c r="G119" s="1" t="s">
        <v>19</v>
      </c>
      <c r="H119" s="1" t="s">
        <v>19</v>
      </c>
    </row>
    <row r="120" spans="1:8" ht="59" x14ac:dyDescent="0.75">
      <c r="A120" s="1" t="s">
        <v>21</v>
      </c>
      <c r="B120" s="1" t="s">
        <v>17</v>
      </c>
      <c r="C120" s="1" t="s">
        <v>42</v>
      </c>
      <c r="D120" s="1" t="s">
        <v>104</v>
      </c>
      <c r="E120" s="1" t="s">
        <v>19</v>
      </c>
      <c r="F120" s="1" t="s">
        <v>19</v>
      </c>
      <c r="G120" s="1" t="s">
        <v>19</v>
      </c>
      <c r="H120" s="1" t="s">
        <v>19</v>
      </c>
    </row>
    <row r="121" spans="1:8" ht="59" x14ac:dyDescent="0.75">
      <c r="A121" s="1" t="s">
        <v>16</v>
      </c>
      <c r="B121" s="1" t="s">
        <v>25</v>
      </c>
      <c r="C121" s="1" t="s">
        <v>41</v>
      </c>
      <c r="D121" s="1" t="s">
        <v>19</v>
      </c>
      <c r="E121" s="1" t="s">
        <v>19</v>
      </c>
      <c r="F121" s="1" t="s">
        <v>19</v>
      </c>
      <c r="G121" s="1" t="s">
        <v>19</v>
      </c>
      <c r="H121" s="1" t="s">
        <v>19</v>
      </c>
    </row>
    <row r="122" spans="1:8" ht="59" x14ac:dyDescent="0.75">
      <c r="A122" s="1" t="s">
        <v>24</v>
      </c>
      <c r="B122" s="1" t="s">
        <v>25</v>
      </c>
      <c r="C122" s="1" t="s">
        <v>44</v>
      </c>
      <c r="D122" s="1" t="s">
        <v>19</v>
      </c>
      <c r="E122" s="1" t="s">
        <v>19</v>
      </c>
      <c r="F122" s="1" t="s">
        <v>19</v>
      </c>
      <c r="G122" s="1" t="s">
        <v>19</v>
      </c>
      <c r="H122" s="1" t="s">
        <v>19</v>
      </c>
    </row>
    <row r="123" spans="1:8" ht="44.25" x14ac:dyDescent="0.75">
      <c r="A123" s="1" t="s">
        <v>21</v>
      </c>
      <c r="B123" s="1" t="s">
        <v>37</v>
      </c>
      <c r="C123" s="1" t="s">
        <v>105</v>
      </c>
      <c r="D123" s="1" t="s">
        <v>19</v>
      </c>
      <c r="E123" s="1" t="s">
        <v>19</v>
      </c>
      <c r="F123" s="1" t="s">
        <v>19</v>
      </c>
      <c r="G123" s="1" t="s">
        <v>19</v>
      </c>
      <c r="H123" s="1" t="s">
        <v>19</v>
      </c>
    </row>
    <row r="124" spans="1:8" ht="59" x14ac:dyDescent="0.75">
      <c r="A124" s="1" t="s">
        <v>64</v>
      </c>
      <c r="B124" s="1" t="s">
        <v>37</v>
      </c>
      <c r="C124" s="1" t="s">
        <v>33</v>
      </c>
      <c r="D124" s="1" t="s">
        <v>19</v>
      </c>
      <c r="E124" s="1" t="s">
        <v>19</v>
      </c>
      <c r="F124" s="1" t="s">
        <v>19</v>
      </c>
      <c r="G124" s="1" t="s">
        <v>19</v>
      </c>
      <c r="H124" s="1" t="s">
        <v>19</v>
      </c>
    </row>
    <row r="125" spans="1:8" ht="103.25" x14ac:dyDescent="0.75">
      <c r="A125" s="1" t="s">
        <v>16</v>
      </c>
      <c r="B125" s="1" t="s">
        <v>22</v>
      </c>
      <c r="C125" s="1" t="s">
        <v>29</v>
      </c>
      <c r="D125" s="1" t="s">
        <v>19</v>
      </c>
      <c r="E125" s="1" t="s">
        <v>19</v>
      </c>
      <c r="F125" s="1" t="s">
        <v>19</v>
      </c>
      <c r="G125" s="1" t="s">
        <v>19</v>
      </c>
      <c r="H125" s="1" t="s">
        <v>19</v>
      </c>
    </row>
    <row r="126" spans="1:8" ht="103.25" x14ac:dyDescent="0.75">
      <c r="A126" s="1" t="s">
        <v>16</v>
      </c>
      <c r="B126" s="1" t="s">
        <v>25</v>
      </c>
      <c r="C126" s="1" t="s">
        <v>29</v>
      </c>
      <c r="D126" s="1" t="s">
        <v>19</v>
      </c>
      <c r="E126" s="1" t="s">
        <v>19</v>
      </c>
      <c r="F126" s="1" t="s">
        <v>19</v>
      </c>
      <c r="G126" s="1" t="s">
        <v>19</v>
      </c>
      <c r="H126" s="1" t="s">
        <v>19</v>
      </c>
    </row>
    <row r="127" spans="1:8" ht="59" x14ac:dyDescent="0.75">
      <c r="A127" s="1" t="s">
        <v>21</v>
      </c>
      <c r="B127" s="1" t="s">
        <v>25</v>
      </c>
      <c r="C127" s="1" t="s">
        <v>75</v>
      </c>
      <c r="D127" s="1" t="s">
        <v>19</v>
      </c>
      <c r="E127" s="1" t="s">
        <v>19</v>
      </c>
      <c r="F127" s="1" t="s">
        <v>19</v>
      </c>
      <c r="G127" s="1" t="s">
        <v>19</v>
      </c>
      <c r="H127" s="1" t="s">
        <v>19</v>
      </c>
    </row>
    <row r="128" spans="1:8" ht="59" x14ac:dyDescent="0.75">
      <c r="A128" s="1" t="s">
        <v>30</v>
      </c>
      <c r="B128" s="1" t="s">
        <v>25</v>
      </c>
      <c r="C128" s="1" t="s">
        <v>38</v>
      </c>
      <c r="D128" s="1" t="s">
        <v>19</v>
      </c>
      <c r="E128" s="1" t="s">
        <v>19</v>
      </c>
      <c r="F128" s="1" t="s">
        <v>19</v>
      </c>
      <c r="G128" s="1" t="s">
        <v>19</v>
      </c>
      <c r="H128" s="1" t="s">
        <v>106</v>
      </c>
    </row>
    <row r="129" spans="1:8" ht="59" x14ac:dyDescent="0.75">
      <c r="A129" s="1" t="s">
        <v>24</v>
      </c>
      <c r="B129" s="1" t="s">
        <v>25</v>
      </c>
      <c r="C129" s="1" t="s">
        <v>69</v>
      </c>
      <c r="D129" s="1" t="s">
        <v>19</v>
      </c>
      <c r="E129" s="1" t="s">
        <v>19</v>
      </c>
      <c r="F129" s="1" t="s">
        <v>107</v>
      </c>
      <c r="G129" s="1" t="s">
        <v>19</v>
      </c>
      <c r="H129" s="1" t="s">
        <v>19</v>
      </c>
    </row>
    <row r="130" spans="1:8" ht="59" x14ac:dyDescent="0.75">
      <c r="A130" s="1" t="s">
        <v>21</v>
      </c>
      <c r="B130" s="1" t="s">
        <v>25</v>
      </c>
      <c r="C130" s="1" t="s">
        <v>44</v>
      </c>
      <c r="D130" s="1" t="s">
        <v>19</v>
      </c>
      <c r="E130" s="1" t="s">
        <v>108</v>
      </c>
      <c r="F130" s="1" t="s">
        <v>19</v>
      </c>
      <c r="G130" s="1" t="s">
        <v>19</v>
      </c>
      <c r="H130" s="1" t="s">
        <v>19</v>
      </c>
    </row>
    <row r="131" spans="1:8" ht="59" x14ac:dyDescent="0.75">
      <c r="A131" s="1" t="s">
        <v>21</v>
      </c>
      <c r="B131" s="1" t="s">
        <v>17</v>
      </c>
      <c r="C131" s="1" t="s">
        <v>93</v>
      </c>
      <c r="D131" s="1" t="s">
        <v>19</v>
      </c>
      <c r="E131" s="1" t="s">
        <v>19</v>
      </c>
      <c r="F131" s="1" t="s">
        <v>19</v>
      </c>
      <c r="G131" s="1" t="s">
        <v>19</v>
      </c>
      <c r="H131" s="1" t="s">
        <v>19</v>
      </c>
    </row>
    <row r="132" spans="1:8" ht="59" x14ac:dyDescent="0.75">
      <c r="A132" s="1" t="s">
        <v>64</v>
      </c>
      <c r="B132" s="1" t="s">
        <v>37</v>
      </c>
      <c r="C132" s="1" t="s">
        <v>40</v>
      </c>
      <c r="D132" s="1" t="s">
        <v>19</v>
      </c>
      <c r="E132" s="1" t="s">
        <v>19</v>
      </c>
      <c r="F132" s="1" t="s">
        <v>19</v>
      </c>
      <c r="G132" s="1" t="s">
        <v>19</v>
      </c>
      <c r="H132" s="1" t="s">
        <v>109</v>
      </c>
    </row>
    <row r="133" spans="1:8" ht="59" x14ac:dyDescent="0.75">
      <c r="A133" s="1" t="s">
        <v>16</v>
      </c>
      <c r="B133" s="1" t="s">
        <v>22</v>
      </c>
      <c r="C133" s="1" t="s">
        <v>40</v>
      </c>
      <c r="D133" s="1" t="s">
        <v>110</v>
      </c>
      <c r="E133" s="1" t="s">
        <v>19</v>
      </c>
      <c r="F133" s="1" t="s">
        <v>19</v>
      </c>
      <c r="G133" s="1" t="s">
        <v>19</v>
      </c>
      <c r="H133" s="1" t="s">
        <v>19</v>
      </c>
    </row>
    <row r="134" spans="1:8" ht="59" x14ac:dyDescent="0.75">
      <c r="A134" s="1" t="s">
        <v>21</v>
      </c>
      <c r="B134" s="1" t="s">
        <v>17</v>
      </c>
      <c r="C134" s="1" t="s">
        <v>42</v>
      </c>
      <c r="D134" s="1" t="s">
        <v>19</v>
      </c>
      <c r="E134" s="1" t="s">
        <v>19</v>
      </c>
      <c r="F134" s="1" t="s">
        <v>19</v>
      </c>
      <c r="G134" s="1" t="s">
        <v>19</v>
      </c>
      <c r="H134" s="1" t="s">
        <v>19</v>
      </c>
    </row>
    <row r="135" spans="1:8" ht="88.5" x14ac:dyDescent="0.75">
      <c r="A135" s="1" t="s">
        <v>24</v>
      </c>
      <c r="B135" s="1" t="s">
        <v>28</v>
      </c>
      <c r="C135" s="1" t="s">
        <v>105</v>
      </c>
      <c r="D135" s="1" t="s">
        <v>19</v>
      </c>
      <c r="E135" s="1" t="s">
        <v>19</v>
      </c>
      <c r="F135" s="1" t="s">
        <v>111</v>
      </c>
      <c r="G135" s="1" t="s">
        <v>19</v>
      </c>
      <c r="H135" s="1" t="s">
        <v>19</v>
      </c>
    </row>
    <row r="136" spans="1:8" ht="59" x14ac:dyDescent="0.75">
      <c r="A136" s="1" t="s">
        <v>16</v>
      </c>
      <c r="B136" s="1" t="s">
        <v>25</v>
      </c>
      <c r="C136" s="1" t="s">
        <v>69</v>
      </c>
      <c r="D136" s="1" t="s">
        <v>19</v>
      </c>
      <c r="E136" s="1" t="s">
        <v>19</v>
      </c>
      <c r="F136" s="1" t="s">
        <v>19</v>
      </c>
      <c r="G136" s="1" t="s">
        <v>112</v>
      </c>
      <c r="H136" s="1" t="s">
        <v>19</v>
      </c>
    </row>
    <row r="137" spans="1:8" ht="44.25" x14ac:dyDescent="0.75">
      <c r="A137" s="1" t="s">
        <v>21</v>
      </c>
      <c r="B137" s="1" t="s">
        <v>37</v>
      </c>
      <c r="C137" s="1" t="s">
        <v>55</v>
      </c>
      <c r="D137" s="1" t="s">
        <v>19</v>
      </c>
      <c r="E137" s="1" t="s">
        <v>113</v>
      </c>
      <c r="F137" s="1" t="s">
        <v>19</v>
      </c>
      <c r="G137" s="1" t="s">
        <v>19</v>
      </c>
      <c r="H137" s="1" t="s">
        <v>19</v>
      </c>
    </row>
    <row r="138" spans="1:8" ht="59" x14ac:dyDescent="0.75">
      <c r="A138" s="1" t="s">
        <v>24</v>
      </c>
      <c r="B138" s="1" t="s">
        <v>17</v>
      </c>
      <c r="C138" s="1" t="s">
        <v>42</v>
      </c>
      <c r="D138" s="1" t="s">
        <v>114</v>
      </c>
      <c r="E138" s="1" t="s">
        <v>19</v>
      </c>
      <c r="F138" s="1" t="s">
        <v>19</v>
      </c>
      <c r="G138" s="1" t="s">
        <v>19</v>
      </c>
      <c r="H138" s="1" t="s">
        <v>19</v>
      </c>
    </row>
    <row r="139" spans="1:8" ht="59" x14ac:dyDescent="0.75">
      <c r="A139" s="1" t="s">
        <v>24</v>
      </c>
      <c r="B139" s="1" t="s">
        <v>17</v>
      </c>
      <c r="C139" s="1" t="s">
        <v>105</v>
      </c>
      <c r="D139" s="1" t="s">
        <v>19</v>
      </c>
      <c r="E139" s="1" t="s">
        <v>19</v>
      </c>
      <c r="F139" s="1" t="s">
        <v>19</v>
      </c>
      <c r="G139" s="1" t="s">
        <v>19</v>
      </c>
      <c r="H139" s="1" t="s">
        <v>19</v>
      </c>
    </row>
    <row r="140" spans="1:8" ht="59" x14ac:dyDescent="0.75">
      <c r="A140" s="1" t="s">
        <v>21</v>
      </c>
      <c r="B140" s="1" t="s">
        <v>25</v>
      </c>
      <c r="C140" s="1" t="s">
        <v>44</v>
      </c>
      <c r="D140" s="1" t="s">
        <v>19</v>
      </c>
      <c r="E140" s="1" t="s">
        <v>19</v>
      </c>
      <c r="F140" s="1" t="s">
        <v>19</v>
      </c>
      <c r="G140" s="1" t="s">
        <v>19</v>
      </c>
      <c r="H140" s="1" t="s">
        <v>19</v>
      </c>
    </row>
    <row r="141" spans="1:8" ht="59" x14ac:dyDescent="0.75">
      <c r="A141" s="1" t="s">
        <v>64</v>
      </c>
      <c r="B141" s="1" t="s">
        <v>22</v>
      </c>
      <c r="C141" s="1" t="s">
        <v>18</v>
      </c>
      <c r="D141" s="1" t="s">
        <v>115</v>
      </c>
      <c r="E141" s="1" t="s">
        <v>19</v>
      </c>
      <c r="F141" s="1" t="s">
        <v>19</v>
      </c>
      <c r="G141" s="1" t="s">
        <v>19</v>
      </c>
      <c r="H141" s="1" t="s">
        <v>19</v>
      </c>
    </row>
    <row r="142" spans="1:8" ht="59" x14ac:dyDescent="0.75">
      <c r="A142" s="1" t="s">
        <v>16</v>
      </c>
      <c r="B142" s="1" t="s">
        <v>17</v>
      </c>
      <c r="C142" s="1" t="s">
        <v>93</v>
      </c>
      <c r="D142" s="1" t="s">
        <v>19</v>
      </c>
      <c r="E142" s="1" t="s">
        <v>19</v>
      </c>
      <c r="F142" s="1" t="s">
        <v>19</v>
      </c>
      <c r="G142" s="1" t="s">
        <v>19</v>
      </c>
      <c r="H142" s="1" t="s">
        <v>116</v>
      </c>
    </row>
    <row r="143" spans="1:8" ht="73.75" x14ac:dyDescent="0.75">
      <c r="A143" s="1" t="s">
        <v>24</v>
      </c>
      <c r="B143" s="1" t="s">
        <v>25</v>
      </c>
      <c r="C143" s="1" t="s">
        <v>47</v>
      </c>
      <c r="D143" s="1" t="s">
        <v>19</v>
      </c>
      <c r="E143" s="1" t="s">
        <v>19</v>
      </c>
      <c r="F143" s="1" t="s">
        <v>19</v>
      </c>
      <c r="G143" s="1" t="s">
        <v>19</v>
      </c>
      <c r="H143" s="1" t="s">
        <v>19</v>
      </c>
    </row>
    <row r="144" spans="1:8" ht="103.25" x14ac:dyDescent="0.75">
      <c r="A144" s="1" t="s">
        <v>64</v>
      </c>
      <c r="B144" s="1" t="s">
        <v>37</v>
      </c>
      <c r="C144" s="1" t="s">
        <v>29</v>
      </c>
      <c r="D144" s="1" t="s">
        <v>19</v>
      </c>
      <c r="E144" s="1" t="s">
        <v>19</v>
      </c>
      <c r="F144" s="1" t="s">
        <v>19</v>
      </c>
      <c r="G144" s="1" t="s">
        <v>19</v>
      </c>
      <c r="H144" s="1" t="s">
        <v>19</v>
      </c>
    </row>
    <row r="145" spans="1:8" ht="59" x14ac:dyDescent="0.75">
      <c r="A145" s="1" t="s">
        <v>64</v>
      </c>
      <c r="B145" s="1" t="s">
        <v>25</v>
      </c>
      <c r="C145" s="1" t="s">
        <v>26</v>
      </c>
      <c r="D145" s="1" t="s">
        <v>19</v>
      </c>
      <c r="E145" s="1" t="s">
        <v>19</v>
      </c>
      <c r="F145" s="1" t="s">
        <v>19</v>
      </c>
      <c r="G145" s="1" t="s">
        <v>19</v>
      </c>
      <c r="H145" s="1" t="s">
        <v>19</v>
      </c>
    </row>
    <row r="146" spans="1:8" ht="59" x14ac:dyDescent="0.75">
      <c r="A146" s="1" t="s">
        <v>21</v>
      </c>
      <c r="B146" s="1" t="s">
        <v>25</v>
      </c>
      <c r="C146" s="1" t="s">
        <v>75</v>
      </c>
      <c r="D146" s="1" t="s">
        <v>19</v>
      </c>
      <c r="E146" s="1" t="s">
        <v>19</v>
      </c>
      <c r="F146" s="1" t="s">
        <v>19</v>
      </c>
      <c r="G146" s="1" t="s">
        <v>19</v>
      </c>
      <c r="H146" s="1" t="s">
        <v>19</v>
      </c>
    </row>
    <row r="147" spans="1:8" ht="73.75" x14ac:dyDescent="0.75">
      <c r="A147" s="1" t="s">
        <v>21</v>
      </c>
      <c r="B147" s="1" t="s">
        <v>17</v>
      </c>
      <c r="C147" s="1" t="s">
        <v>47</v>
      </c>
      <c r="D147" s="1" t="s">
        <v>117</v>
      </c>
      <c r="E147" s="1" t="s">
        <v>19</v>
      </c>
      <c r="F147" s="1" t="s">
        <v>19</v>
      </c>
      <c r="G147" s="1" t="s">
        <v>19</v>
      </c>
      <c r="H147" s="1" t="s">
        <v>19</v>
      </c>
    </row>
    <row r="148" spans="1:8" ht="44.25" x14ac:dyDescent="0.75">
      <c r="A148" s="1" t="s">
        <v>16</v>
      </c>
      <c r="B148" s="1" t="s">
        <v>37</v>
      </c>
      <c r="C148" s="1" t="s">
        <v>26</v>
      </c>
      <c r="D148" s="1" t="s">
        <v>19</v>
      </c>
      <c r="E148" s="1" t="s">
        <v>19</v>
      </c>
      <c r="F148" s="1" t="s">
        <v>118</v>
      </c>
      <c r="G148" s="1" t="s">
        <v>19</v>
      </c>
      <c r="H148" s="1" t="s">
        <v>19</v>
      </c>
    </row>
    <row r="149" spans="1:8" ht="59" x14ac:dyDescent="0.75">
      <c r="A149" s="1" t="s">
        <v>16</v>
      </c>
      <c r="B149" s="1" t="s">
        <v>25</v>
      </c>
      <c r="C149" s="1" t="s">
        <v>69</v>
      </c>
      <c r="D149" s="1" t="s">
        <v>19</v>
      </c>
      <c r="E149" s="1" t="s">
        <v>19</v>
      </c>
      <c r="F149" s="1" t="s">
        <v>19</v>
      </c>
      <c r="G149" s="1" t="s">
        <v>19</v>
      </c>
      <c r="H149" s="1" t="s">
        <v>19</v>
      </c>
    </row>
    <row r="150" spans="1:8" ht="59" x14ac:dyDescent="0.75">
      <c r="A150" s="1" t="s">
        <v>30</v>
      </c>
      <c r="B150" s="1" t="s">
        <v>17</v>
      </c>
      <c r="C150" s="1" t="s">
        <v>42</v>
      </c>
      <c r="D150" s="1" t="s">
        <v>19</v>
      </c>
      <c r="E150" s="1" t="s">
        <v>19</v>
      </c>
      <c r="F150" s="1" t="s">
        <v>19</v>
      </c>
      <c r="G150" s="1" t="s">
        <v>19</v>
      </c>
      <c r="H150" s="1" t="s">
        <v>19</v>
      </c>
    </row>
    <row r="151" spans="1:8" ht="59" x14ac:dyDescent="0.75">
      <c r="A151" s="1" t="s">
        <v>24</v>
      </c>
      <c r="B151" s="1" t="s">
        <v>25</v>
      </c>
      <c r="C151" s="1" t="s">
        <v>42</v>
      </c>
      <c r="D151" s="1" t="s">
        <v>19</v>
      </c>
      <c r="E151" s="1" t="s">
        <v>19</v>
      </c>
      <c r="F151" s="1" t="s">
        <v>19</v>
      </c>
      <c r="G151" s="1" t="s">
        <v>19</v>
      </c>
      <c r="H151" s="1" t="s">
        <v>19</v>
      </c>
    </row>
    <row r="152" spans="1:8" ht="29.5" x14ac:dyDescent="0.75">
      <c r="A152" s="1" t="s">
        <v>21</v>
      </c>
      <c r="B152" s="1" t="s">
        <v>22</v>
      </c>
      <c r="C152" s="1" t="s">
        <v>79</v>
      </c>
      <c r="D152" s="1" t="s">
        <v>19</v>
      </c>
      <c r="E152" s="1" t="s">
        <v>19</v>
      </c>
      <c r="F152" s="1" t="s">
        <v>19</v>
      </c>
      <c r="G152" s="1" t="s">
        <v>19</v>
      </c>
      <c r="H152" s="1" t="s">
        <v>19</v>
      </c>
    </row>
    <row r="153" spans="1:8" ht="59" x14ac:dyDescent="0.75">
      <c r="A153" s="1" t="s">
        <v>21</v>
      </c>
      <c r="B153" s="1" t="s">
        <v>37</v>
      </c>
      <c r="C153" s="1" t="s">
        <v>46</v>
      </c>
      <c r="D153" s="1" t="s">
        <v>19</v>
      </c>
      <c r="E153" s="1" t="s">
        <v>19</v>
      </c>
      <c r="F153" s="1" t="s">
        <v>19</v>
      </c>
      <c r="G153" s="1" t="s">
        <v>19</v>
      </c>
      <c r="H153" s="1" t="s">
        <v>19</v>
      </c>
    </row>
    <row r="154" spans="1:8" ht="29.5" x14ac:dyDescent="0.75">
      <c r="A154" s="1" t="s">
        <v>64</v>
      </c>
      <c r="B154" s="1" t="s">
        <v>22</v>
      </c>
      <c r="C154" s="1" t="s">
        <v>26</v>
      </c>
      <c r="D154" s="1" t="s">
        <v>19</v>
      </c>
      <c r="E154" s="1" t="s">
        <v>19</v>
      </c>
      <c r="F154" s="1" t="s">
        <v>19</v>
      </c>
      <c r="G154" s="1" t="s">
        <v>19</v>
      </c>
      <c r="H154" s="1" t="s">
        <v>19</v>
      </c>
    </row>
    <row r="155" spans="1:8" ht="88.5" x14ac:dyDescent="0.75">
      <c r="A155" s="1" t="s">
        <v>21</v>
      </c>
      <c r="B155" s="1" t="s">
        <v>31</v>
      </c>
      <c r="C155" s="1" t="s">
        <v>119</v>
      </c>
      <c r="D155" s="1" t="s">
        <v>19</v>
      </c>
      <c r="E155" s="1" t="s">
        <v>19</v>
      </c>
      <c r="F155" s="1" t="s">
        <v>19</v>
      </c>
      <c r="G155" s="1" t="s">
        <v>120</v>
      </c>
      <c r="H155" s="1" t="s">
        <v>19</v>
      </c>
    </row>
    <row r="156" spans="1:8" ht="88.5" x14ac:dyDescent="0.75">
      <c r="A156" s="1" t="s">
        <v>16</v>
      </c>
      <c r="B156" s="1" t="s">
        <v>31</v>
      </c>
      <c r="C156" s="1" t="s">
        <v>35</v>
      </c>
      <c r="D156" s="1" t="s">
        <v>19</v>
      </c>
      <c r="E156" s="1" t="s">
        <v>19</v>
      </c>
      <c r="F156" s="1" t="s">
        <v>121</v>
      </c>
      <c r="G156" s="1" t="s">
        <v>19</v>
      </c>
      <c r="H156" s="1" t="s">
        <v>19</v>
      </c>
    </row>
    <row r="157" spans="1:8" ht="59" x14ac:dyDescent="0.75">
      <c r="A157" s="1" t="s">
        <v>16</v>
      </c>
      <c r="B157" s="1" t="s">
        <v>25</v>
      </c>
      <c r="C157" s="1" t="s">
        <v>46</v>
      </c>
      <c r="D157" s="1" t="s">
        <v>19</v>
      </c>
      <c r="E157" s="1" t="s">
        <v>19</v>
      </c>
      <c r="F157" s="1" t="s">
        <v>19</v>
      </c>
      <c r="G157" s="1" t="s">
        <v>122</v>
      </c>
      <c r="H157" s="1" t="s">
        <v>19</v>
      </c>
    </row>
    <row r="158" spans="1:8" ht="88.5" x14ac:dyDescent="0.75">
      <c r="A158" s="1" t="s">
        <v>21</v>
      </c>
      <c r="B158" s="1" t="s">
        <v>28</v>
      </c>
      <c r="C158" s="1" t="s">
        <v>41</v>
      </c>
      <c r="D158" s="1" t="s">
        <v>19</v>
      </c>
      <c r="E158" s="1" t="s">
        <v>19</v>
      </c>
      <c r="F158" s="1" t="s">
        <v>19</v>
      </c>
      <c r="G158" s="1" t="s">
        <v>19</v>
      </c>
      <c r="H158" s="1" t="s">
        <v>19</v>
      </c>
    </row>
    <row r="159" spans="1:8" ht="44.25" x14ac:dyDescent="0.75">
      <c r="A159" s="1" t="s">
        <v>16</v>
      </c>
      <c r="B159" s="1" t="s">
        <v>37</v>
      </c>
      <c r="C159" s="1" t="s">
        <v>44</v>
      </c>
      <c r="D159" s="1" t="s">
        <v>19</v>
      </c>
      <c r="E159" s="1" t="s">
        <v>19</v>
      </c>
      <c r="F159" s="1" t="s">
        <v>19</v>
      </c>
      <c r="G159" s="1" t="s">
        <v>19</v>
      </c>
      <c r="H159" s="1" t="s">
        <v>123</v>
      </c>
    </row>
    <row r="160" spans="1:8" ht="59" x14ac:dyDescent="0.75">
      <c r="A160" s="1" t="s">
        <v>30</v>
      </c>
      <c r="B160" s="1" t="s">
        <v>17</v>
      </c>
      <c r="C160" s="1" t="s">
        <v>38</v>
      </c>
      <c r="D160" s="1" t="s">
        <v>19</v>
      </c>
      <c r="E160" s="1" t="s">
        <v>19</v>
      </c>
      <c r="F160" s="1" t="s">
        <v>19</v>
      </c>
      <c r="G160" s="1" t="s">
        <v>19</v>
      </c>
      <c r="H160" s="1" t="s">
        <v>124</v>
      </c>
    </row>
    <row r="161" spans="1:8" ht="59" x14ac:dyDescent="0.75">
      <c r="A161" s="1" t="s">
        <v>16</v>
      </c>
      <c r="B161" s="1" t="s">
        <v>25</v>
      </c>
      <c r="C161" s="1" t="s">
        <v>26</v>
      </c>
      <c r="D161" s="1" t="s">
        <v>19</v>
      </c>
      <c r="E161" s="1" t="s">
        <v>19</v>
      </c>
      <c r="F161" s="1" t="s">
        <v>125</v>
      </c>
      <c r="G161" s="1" t="s">
        <v>19</v>
      </c>
      <c r="H161" s="1" t="s">
        <v>19</v>
      </c>
    </row>
    <row r="162" spans="1:8" ht="59" x14ac:dyDescent="0.75">
      <c r="A162" s="1" t="s">
        <v>21</v>
      </c>
      <c r="B162" s="1" t="s">
        <v>25</v>
      </c>
      <c r="C162" s="1" t="s">
        <v>18</v>
      </c>
      <c r="D162" s="1" t="s">
        <v>19</v>
      </c>
      <c r="E162" s="1" t="s">
        <v>19</v>
      </c>
      <c r="F162" s="1" t="s">
        <v>19</v>
      </c>
      <c r="G162" s="1" t="s">
        <v>19</v>
      </c>
      <c r="H162" s="1" t="s">
        <v>19</v>
      </c>
    </row>
    <row r="163" spans="1:8" ht="59" x14ac:dyDescent="0.75">
      <c r="A163" s="1" t="s">
        <v>16</v>
      </c>
      <c r="B163" s="1" t="s">
        <v>25</v>
      </c>
      <c r="C163" s="1" t="s">
        <v>33</v>
      </c>
      <c r="D163" s="1" t="s">
        <v>19</v>
      </c>
      <c r="E163" s="1" t="s">
        <v>19</v>
      </c>
      <c r="F163" s="1" t="s">
        <v>19</v>
      </c>
      <c r="G163" s="1" t="s">
        <v>19</v>
      </c>
      <c r="H163" s="1" t="s">
        <v>19</v>
      </c>
    </row>
    <row r="164" spans="1:8" ht="59" x14ac:dyDescent="0.75">
      <c r="A164" s="1" t="s">
        <v>62</v>
      </c>
      <c r="B164" s="1" t="s">
        <v>25</v>
      </c>
      <c r="C164" s="1" t="s">
        <v>42</v>
      </c>
      <c r="D164" s="1" t="s">
        <v>19</v>
      </c>
      <c r="E164" s="1" t="s">
        <v>19</v>
      </c>
      <c r="F164" s="1" t="s">
        <v>126</v>
      </c>
      <c r="G164" s="1" t="s">
        <v>19</v>
      </c>
      <c r="H164" s="1" t="s">
        <v>19</v>
      </c>
    </row>
    <row r="165" spans="1:8" ht="59" x14ac:dyDescent="0.75">
      <c r="A165" s="1" t="s">
        <v>16</v>
      </c>
      <c r="B165" s="1" t="s">
        <v>22</v>
      </c>
      <c r="C165" s="1" t="s">
        <v>40</v>
      </c>
      <c r="D165" s="1" t="s">
        <v>19</v>
      </c>
      <c r="E165" s="1" t="s">
        <v>19</v>
      </c>
      <c r="F165" s="1" t="s">
        <v>19</v>
      </c>
      <c r="G165" s="1" t="s">
        <v>19</v>
      </c>
      <c r="H165" s="1" t="s">
        <v>127</v>
      </c>
    </row>
    <row r="166" spans="1:8" ht="88.5" x14ac:dyDescent="0.75">
      <c r="A166" s="1" t="s">
        <v>24</v>
      </c>
      <c r="B166" s="1" t="s">
        <v>28</v>
      </c>
      <c r="C166" s="1" t="s">
        <v>18</v>
      </c>
      <c r="D166" s="1" t="s">
        <v>19</v>
      </c>
      <c r="E166" s="1" t="s">
        <v>128</v>
      </c>
      <c r="F166" s="1" t="s">
        <v>19</v>
      </c>
      <c r="G166" s="1" t="s">
        <v>19</v>
      </c>
      <c r="H166" s="1" t="s">
        <v>19</v>
      </c>
    </row>
    <row r="167" spans="1:8" ht="59" x14ac:dyDescent="0.75">
      <c r="A167" s="1" t="s">
        <v>16</v>
      </c>
      <c r="B167" s="1" t="s">
        <v>25</v>
      </c>
      <c r="C167" s="1" t="s">
        <v>44</v>
      </c>
      <c r="D167" s="1" t="s">
        <v>19</v>
      </c>
      <c r="E167" s="1" t="s">
        <v>19</v>
      </c>
      <c r="F167" s="1" t="s">
        <v>19</v>
      </c>
      <c r="G167" s="1" t="s">
        <v>19</v>
      </c>
      <c r="H167" s="1" t="s">
        <v>129</v>
      </c>
    </row>
    <row r="168" spans="1:8" ht="59" x14ac:dyDescent="0.75">
      <c r="A168" s="1" t="s">
        <v>30</v>
      </c>
      <c r="B168" s="1" t="s">
        <v>22</v>
      </c>
      <c r="C168" s="1" t="s">
        <v>40</v>
      </c>
      <c r="D168" s="1" t="s">
        <v>19</v>
      </c>
      <c r="E168" s="1" t="s">
        <v>19</v>
      </c>
      <c r="F168" s="1" t="s">
        <v>130</v>
      </c>
      <c r="G168" s="1" t="s">
        <v>19</v>
      </c>
      <c r="H168" s="1" t="s">
        <v>19</v>
      </c>
    </row>
    <row r="169" spans="1:8" ht="88.5" x14ac:dyDescent="0.75">
      <c r="A169" s="1" t="s">
        <v>24</v>
      </c>
      <c r="B169" s="1" t="s">
        <v>28</v>
      </c>
      <c r="C169" s="1" t="s">
        <v>26</v>
      </c>
      <c r="D169" s="1" t="s">
        <v>19</v>
      </c>
      <c r="E169" s="1" t="s">
        <v>19</v>
      </c>
      <c r="F169" s="1" t="s">
        <v>19</v>
      </c>
      <c r="G169" s="1" t="s">
        <v>19</v>
      </c>
      <c r="H169" s="1" t="s">
        <v>19</v>
      </c>
    </row>
    <row r="170" spans="1:8" ht="59" x14ac:dyDescent="0.75">
      <c r="A170" s="1" t="s">
        <v>21</v>
      </c>
      <c r="B170" s="1" t="s">
        <v>25</v>
      </c>
      <c r="C170" s="1" t="s">
        <v>63</v>
      </c>
      <c r="D170" s="1" t="s">
        <v>19</v>
      </c>
      <c r="E170" s="1" t="s">
        <v>19</v>
      </c>
      <c r="F170" s="1" t="s">
        <v>19</v>
      </c>
      <c r="G170" s="1" t="s">
        <v>19</v>
      </c>
      <c r="H170" s="1" t="s">
        <v>19</v>
      </c>
    </row>
    <row r="171" spans="1:8" ht="88.5" x14ac:dyDescent="0.75">
      <c r="A171" s="1" t="s">
        <v>16</v>
      </c>
      <c r="B171" s="1" t="s">
        <v>31</v>
      </c>
      <c r="C171" s="1" t="s">
        <v>42</v>
      </c>
      <c r="D171" s="1" t="s">
        <v>19</v>
      </c>
      <c r="E171" s="1" t="s">
        <v>19</v>
      </c>
      <c r="F171" s="1" t="s">
        <v>19</v>
      </c>
      <c r="G171" s="1" t="s">
        <v>19</v>
      </c>
      <c r="H171" s="1" t="s">
        <v>19</v>
      </c>
    </row>
    <row r="172" spans="1:8" ht="59" x14ac:dyDescent="0.75">
      <c r="A172" s="1" t="s">
        <v>24</v>
      </c>
      <c r="B172" s="1" t="s">
        <v>25</v>
      </c>
      <c r="C172" s="1" t="s">
        <v>26</v>
      </c>
      <c r="D172" s="1" t="s">
        <v>131</v>
      </c>
      <c r="E172" s="1" t="s">
        <v>19</v>
      </c>
      <c r="F172" s="1" t="s">
        <v>19</v>
      </c>
      <c r="G172" s="1" t="s">
        <v>19</v>
      </c>
      <c r="H172" s="1" t="s">
        <v>19</v>
      </c>
    </row>
    <row r="173" spans="1:8" ht="59" x14ac:dyDescent="0.75">
      <c r="A173" s="1" t="s">
        <v>21</v>
      </c>
      <c r="B173" s="1" t="s">
        <v>25</v>
      </c>
      <c r="C173" s="1" t="s">
        <v>42</v>
      </c>
      <c r="D173" s="1" t="s">
        <v>19</v>
      </c>
      <c r="E173" s="1" t="s">
        <v>19</v>
      </c>
      <c r="F173" s="1" t="s">
        <v>132</v>
      </c>
      <c r="G173" s="1" t="s">
        <v>19</v>
      </c>
      <c r="H173" s="1" t="s">
        <v>19</v>
      </c>
    </row>
    <row r="174" spans="1:8" ht="59" x14ac:dyDescent="0.75">
      <c r="A174" s="1" t="s">
        <v>16</v>
      </c>
      <c r="B174" s="1" t="s">
        <v>25</v>
      </c>
      <c r="C174" s="1" t="s">
        <v>44</v>
      </c>
      <c r="D174" s="1" t="s">
        <v>19</v>
      </c>
      <c r="E174" s="1" t="s">
        <v>19</v>
      </c>
      <c r="F174" s="1" t="s">
        <v>19</v>
      </c>
      <c r="G174" s="1" t="s">
        <v>19</v>
      </c>
      <c r="H174" s="1" t="s">
        <v>19</v>
      </c>
    </row>
    <row r="175" spans="1:8" ht="44.25" x14ac:dyDescent="0.75">
      <c r="A175" s="1" t="s">
        <v>24</v>
      </c>
      <c r="B175" s="1" t="s">
        <v>37</v>
      </c>
      <c r="C175" s="1" t="s">
        <v>105</v>
      </c>
      <c r="D175" s="1" t="s">
        <v>19</v>
      </c>
      <c r="E175" s="1" t="s">
        <v>19</v>
      </c>
      <c r="F175" s="1" t="s">
        <v>19</v>
      </c>
      <c r="G175" s="1" t="s">
        <v>19</v>
      </c>
      <c r="H175" s="1" t="s">
        <v>19</v>
      </c>
    </row>
    <row r="176" spans="1:8" ht="59" x14ac:dyDescent="0.75">
      <c r="A176" s="1" t="s">
        <v>30</v>
      </c>
      <c r="B176" s="1" t="s">
        <v>133</v>
      </c>
      <c r="C176" s="1" t="s">
        <v>26</v>
      </c>
      <c r="D176" s="1" t="s">
        <v>19</v>
      </c>
      <c r="E176" s="1" t="s">
        <v>19</v>
      </c>
      <c r="F176" s="1" t="s">
        <v>19</v>
      </c>
      <c r="G176" s="1" t="s">
        <v>134</v>
      </c>
      <c r="H176" s="1" t="s">
        <v>19</v>
      </c>
    </row>
    <row r="177" spans="1:8" ht="59" x14ac:dyDescent="0.75">
      <c r="A177" s="1" t="s">
        <v>21</v>
      </c>
      <c r="B177" s="1" t="s">
        <v>25</v>
      </c>
      <c r="C177" s="1" t="s">
        <v>55</v>
      </c>
      <c r="D177" s="1" t="s">
        <v>19</v>
      </c>
      <c r="E177" s="1" t="s">
        <v>19</v>
      </c>
      <c r="F177" s="1" t="s">
        <v>19</v>
      </c>
      <c r="G177" s="1" t="s">
        <v>19</v>
      </c>
      <c r="H177" s="1" t="s">
        <v>135</v>
      </c>
    </row>
    <row r="178" spans="1:8" ht="59" x14ac:dyDescent="0.75">
      <c r="A178" s="1" t="s">
        <v>24</v>
      </c>
      <c r="B178" s="1" t="s">
        <v>17</v>
      </c>
      <c r="C178" s="1" t="s">
        <v>69</v>
      </c>
      <c r="D178" s="1" t="s">
        <v>19</v>
      </c>
      <c r="E178" s="1" t="s">
        <v>19</v>
      </c>
      <c r="F178" s="1" t="s">
        <v>19</v>
      </c>
      <c r="G178" s="1" t="s">
        <v>136</v>
      </c>
      <c r="H178" s="1" t="s">
        <v>19</v>
      </c>
    </row>
    <row r="179" spans="1:8" ht="59" x14ac:dyDescent="0.75">
      <c r="A179" s="1" t="s">
        <v>24</v>
      </c>
      <c r="B179" s="1" t="s">
        <v>25</v>
      </c>
      <c r="C179" s="1" t="s">
        <v>18</v>
      </c>
      <c r="D179" s="1" t="s">
        <v>19</v>
      </c>
      <c r="E179" s="1" t="s">
        <v>19</v>
      </c>
      <c r="F179" s="1" t="s">
        <v>19</v>
      </c>
      <c r="G179" s="1" t="s">
        <v>19</v>
      </c>
      <c r="H179" s="1" t="s">
        <v>19</v>
      </c>
    </row>
    <row r="180" spans="1:8" ht="59" x14ac:dyDescent="0.75">
      <c r="A180" s="1" t="s">
        <v>30</v>
      </c>
      <c r="B180" s="1" t="s">
        <v>17</v>
      </c>
      <c r="C180" s="1" t="s">
        <v>38</v>
      </c>
      <c r="D180" s="1" t="s">
        <v>19</v>
      </c>
      <c r="E180" s="1" t="s">
        <v>137</v>
      </c>
      <c r="F180" s="1" t="s">
        <v>19</v>
      </c>
      <c r="G180" s="1" t="s">
        <v>19</v>
      </c>
      <c r="H180" s="1" t="s">
        <v>19</v>
      </c>
    </row>
    <row r="181" spans="1:8" ht="59" x14ac:dyDescent="0.75">
      <c r="A181" s="1" t="s">
        <v>16</v>
      </c>
      <c r="B181" s="1" t="s">
        <v>25</v>
      </c>
      <c r="C181" s="1" t="s">
        <v>41</v>
      </c>
      <c r="D181" s="1" t="s">
        <v>19</v>
      </c>
      <c r="E181" s="1" t="s">
        <v>19</v>
      </c>
      <c r="F181" s="1" t="s">
        <v>19</v>
      </c>
      <c r="G181" s="1" t="s">
        <v>138</v>
      </c>
      <c r="H181" s="1" t="s">
        <v>19</v>
      </c>
    </row>
    <row r="182" spans="1:8" ht="59" x14ac:dyDescent="0.75">
      <c r="A182" s="1" t="s">
        <v>24</v>
      </c>
      <c r="B182" s="1" t="s">
        <v>25</v>
      </c>
      <c r="C182" s="1" t="s">
        <v>46</v>
      </c>
      <c r="D182" s="1" t="s">
        <v>19</v>
      </c>
      <c r="E182" s="1" t="s">
        <v>19</v>
      </c>
      <c r="F182" s="1" t="s">
        <v>19</v>
      </c>
      <c r="G182" s="1" t="s">
        <v>19</v>
      </c>
      <c r="H182" s="1" t="s">
        <v>19</v>
      </c>
    </row>
    <row r="183" spans="1:8" ht="59" x14ac:dyDescent="0.75">
      <c r="A183" s="1" t="s">
        <v>24</v>
      </c>
      <c r="B183" s="1" t="s">
        <v>25</v>
      </c>
      <c r="C183" s="1" t="s">
        <v>46</v>
      </c>
      <c r="D183" s="1" t="s">
        <v>19</v>
      </c>
      <c r="E183" s="1" t="s">
        <v>19</v>
      </c>
      <c r="F183" s="1" t="s">
        <v>139</v>
      </c>
      <c r="G183" s="1" t="s">
        <v>19</v>
      </c>
      <c r="H183" s="1" t="s">
        <v>19</v>
      </c>
    </row>
    <row r="184" spans="1:8" ht="103.25" x14ac:dyDescent="0.75">
      <c r="A184" s="1" t="s">
        <v>16</v>
      </c>
      <c r="B184" s="1" t="s">
        <v>22</v>
      </c>
      <c r="C184" s="1" t="s">
        <v>29</v>
      </c>
      <c r="D184" s="1" t="s">
        <v>19</v>
      </c>
      <c r="E184" s="1" t="s">
        <v>140</v>
      </c>
      <c r="F184" s="1" t="s">
        <v>19</v>
      </c>
      <c r="G184" s="1" t="s">
        <v>19</v>
      </c>
      <c r="H184" s="1" t="s">
        <v>19</v>
      </c>
    </row>
    <row r="185" spans="1:8" ht="88.5" x14ac:dyDescent="0.75">
      <c r="A185" s="1" t="s">
        <v>24</v>
      </c>
      <c r="B185" s="1" t="s">
        <v>73</v>
      </c>
      <c r="C185" s="1" t="s">
        <v>55</v>
      </c>
      <c r="D185" s="1" t="s">
        <v>19</v>
      </c>
      <c r="E185" s="1" t="s">
        <v>19</v>
      </c>
      <c r="F185" s="1" t="s">
        <v>19</v>
      </c>
      <c r="G185" s="1" t="s">
        <v>19</v>
      </c>
      <c r="H185" s="1" t="s">
        <v>19</v>
      </c>
    </row>
    <row r="186" spans="1:8" ht="59" x14ac:dyDescent="0.75">
      <c r="A186" s="1" t="s">
        <v>30</v>
      </c>
      <c r="B186" s="1" t="s">
        <v>25</v>
      </c>
      <c r="C186" s="1" t="s">
        <v>38</v>
      </c>
      <c r="D186" s="1" t="s">
        <v>19</v>
      </c>
      <c r="E186" s="1" t="s">
        <v>19</v>
      </c>
      <c r="F186" s="1" t="s">
        <v>19</v>
      </c>
      <c r="G186" s="1" t="s">
        <v>19</v>
      </c>
      <c r="H186" s="1" t="s">
        <v>19</v>
      </c>
    </row>
    <row r="187" spans="1:8" ht="59" x14ac:dyDescent="0.75">
      <c r="A187" s="1" t="s">
        <v>16</v>
      </c>
      <c r="B187" s="1" t="s">
        <v>133</v>
      </c>
      <c r="C187" s="1" t="s">
        <v>44</v>
      </c>
      <c r="D187" s="1" t="s">
        <v>19</v>
      </c>
      <c r="E187" s="1" t="s">
        <v>19</v>
      </c>
      <c r="F187" s="1" t="s">
        <v>19</v>
      </c>
      <c r="G187" s="1" t="s">
        <v>19</v>
      </c>
      <c r="H187" s="1" t="s">
        <v>19</v>
      </c>
    </row>
    <row r="188" spans="1:8" ht="59" x14ac:dyDescent="0.75">
      <c r="A188" s="1" t="s">
        <v>16</v>
      </c>
      <c r="B188" s="1" t="s">
        <v>25</v>
      </c>
      <c r="C188" s="1" t="s">
        <v>35</v>
      </c>
      <c r="D188" s="1" t="s">
        <v>19</v>
      </c>
      <c r="E188" s="1" t="s">
        <v>19</v>
      </c>
      <c r="F188" s="1" t="s">
        <v>19</v>
      </c>
      <c r="G188" s="1" t="s">
        <v>19</v>
      </c>
      <c r="H188" s="1" t="s">
        <v>19</v>
      </c>
    </row>
    <row r="189" spans="1:8" ht="59" x14ac:dyDescent="0.75">
      <c r="A189" s="1" t="s">
        <v>16</v>
      </c>
      <c r="B189" s="1" t="s">
        <v>25</v>
      </c>
      <c r="C189" s="1" t="s">
        <v>35</v>
      </c>
      <c r="D189" s="1" t="s">
        <v>19</v>
      </c>
      <c r="E189" s="1" t="s">
        <v>141</v>
      </c>
      <c r="F189" s="1" t="s">
        <v>19</v>
      </c>
      <c r="G189" s="1" t="s">
        <v>19</v>
      </c>
      <c r="H189" s="1" t="s">
        <v>19</v>
      </c>
    </row>
    <row r="190" spans="1:8" ht="59" x14ac:dyDescent="0.75">
      <c r="A190" s="1" t="s">
        <v>21</v>
      </c>
      <c r="B190" s="1" t="s">
        <v>25</v>
      </c>
      <c r="C190" s="1" t="s">
        <v>26</v>
      </c>
      <c r="D190" s="1" t="s">
        <v>19</v>
      </c>
      <c r="E190" s="1" t="s">
        <v>142</v>
      </c>
      <c r="F190" s="1" t="s">
        <v>19</v>
      </c>
      <c r="G190" s="1" t="s">
        <v>19</v>
      </c>
      <c r="H190" s="1" t="s">
        <v>19</v>
      </c>
    </row>
    <row r="191" spans="1:8" ht="88.5" x14ac:dyDescent="0.75">
      <c r="A191" s="1" t="s">
        <v>30</v>
      </c>
      <c r="B191" s="1" t="s">
        <v>28</v>
      </c>
      <c r="C191" s="1" t="s">
        <v>38</v>
      </c>
      <c r="D191" s="1" t="s">
        <v>19</v>
      </c>
      <c r="E191" s="1" t="s">
        <v>19</v>
      </c>
      <c r="F191" s="1" t="s">
        <v>19</v>
      </c>
      <c r="G191" s="1" t="s">
        <v>19</v>
      </c>
      <c r="H191" s="1" t="s">
        <v>19</v>
      </c>
    </row>
    <row r="192" spans="1:8" ht="59" x14ac:dyDescent="0.75">
      <c r="A192" s="1" t="s">
        <v>30</v>
      </c>
      <c r="B192" s="1" t="s">
        <v>25</v>
      </c>
      <c r="C192" s="1" t="s">
        <v>35</v>
      </c>
      <c r="D192" s="1" t="s">
        <v>19</v>
      </c>
      <c r="E192" s="1" t="s">
        <v>19</v>
      </c>
      <c r="F192" s="1" t="s">
        <v>19</v>
      </c>
      <c r="G192" s="1" t="s">
        <v>143</v>
      </c>
      <c r="H192" s="1" t="s">
        <v>19</v>
      </c>
    </row>
    <row r="193" spans="1:8" ht="59" x14ac:dyDescent="0.75">
      <c r="A193" s="1" t="s">
        <v>30</v>
      </c>
      <c r="B193" s="1" t="s">
        <v>17</v>
      </c>
      <c r="C193" s="1" t="s">
        <v>44</v>
      </c>
      <c r="D193" s="1" t="s">
        <v>19</v>
      </c>
      <c r="E193" s="1" t="s">
        <v>19</v>
      </c>
      <c r="F193" s="1" t="s">
        <v>19</v>
      </c>
      <c r="G193" s="1" t="s">
        <v>19</v>
      </c>
      <c r="H193" s="1" t="s">
        <v>19</v>
      </c>
    </row>
    <row r="194" spans="1:8" ht="59" x14ac:dyDescent="0.75">
      <c r="A194" s="1" t="s">
        <v>62</v>
      </c>
      <c r="B194" s="1" t="s">
        <v>144</v>
      </c>
      <c r="C194" s="1" t="s">
        <v>46</v>
      </c>
      <c r="D194" s="1" t="s">
        <v>19</v>
      </c>
      <c r="E194" s="1" t="s">
        <v>19</v>
      </c>
      <c r="F194" s="1" t="s">
        <v>19</v>
      </c>
      <c r="G194" s="1" t="s">
        <v>19</v>
      </c>
      <c r="H194" s="1" t="s">
        <v>145</v>
      </c>
    </row>
    <row r="195" spans="1:8" ht="88.5" x14ac:dyDescent="0.75">
      <c r="A195" s="1" t="s">
        <v>16</v>
      </c>
      <c r="B195" s="1" t="s">
        <v>31</v>
      </c>
      <c r="C195" s="1" t="s">
        <v>35</v>
      </c>
      <c r="D195" s="1" t="s">
        <v>146</v>
      </c>
      <c r="E195" s="1" t="s">
        <v>19</v>
      </c>
      <c r="F195" s="1" t="s">
        <v>19</v>
      </c>
      <c r="G195" s="1" t="s">
        <v>19</v>
      </c>
      <c r="H195" s="1" t="s">
        <v>19</v>
      </c>
    </row>
    <row r="196" spans="1:8" ht="59" x14ac:dyDescent="0.75">
      <c r="A196" s="1" t="s">
        <v>21</v>
      </c>
      <c r="B196" s="1" t="s">
        <v>25</v>
      </c>
      <c r="C196" s="1" t="s">
        <v>44</v>
      </c>
      <c r="D196" s="1" t="s">
        <v>19</v>
      </c>
      <c r="E196" s="1" t="s">
        <v>19</v>
      </c>
      <c r="F196" s="1" t="s">
        <v>19</v>
      </c>
      <c r="G196" s="1" t="s">
        <v>19</v>
      </c>
      <c r="H196" s="1" t="s">
        <v>19</v>
      </c>
    </row>
    <row r="197" spans="1:8" ht="59" x14ac:dyDescent="0.75">
      <c r="A197" s="1" t="s">
        <v>16</v>
      </c>
      <c r="B197" s="1" t="s">
        <v>25</v>
      </c>
      <c r="C197" s="1" t="s">
        <v>23</v>
      </c>
      <c r="D197" s="1" t="s">
        <v>19</v>
      </c>
      <c r="E197" s="1" t="s">
        <v>19</v>
      </c>
      <c r="F197" s="1" t="s">
        <v>19</v>
      </c>
      <c r="G197" s="1" t="s">
        <v>147</v>
      </c>
      <c r="H197" s="1" t="s">
        <v>19</v>
      </c>
    </row>
    <row r="198" spans="1:8" ht="44.25" x14ac:dyDescent="0.75">
      <c r="A198" s="1" t="s">
        <v>24</v>
      </c>
      <c r="B198" s="1" t="s">
        <v>22</v>
      </c>
      <c r="C198" s="1" t="s">
        <v>55</v>
      </c>
      <c r="D198" s="1" t="s">
        <v>19</v>
      </c>
      <c r="E198" s="1" t="s">
        <v>19</v>
      </c>
      <c r="F198" s="1" t="s">
        <v>19</v>
      </c>
      <c r="G198" s="1" t="s">
        <v>148</v>
      </c>
      <c r="H198" s="1" t="s">
        <v>19</v>
      </c>
    </row>
    <row r="199" spans="1:8" ht="59" x14ac:dyDescent="0.75">
      <c r="A199" s="1" t="s">
        <v>24</v>
      </c>
      <c r="B199" s="1" t="s">
        <v>17</v>
      </c>
      <c r="C199" s="1" t="s">
        <v>23</v>
      </c>
      <c r="D199" s="1" t="s">
        <v>149</v>
      </c>
      <c r="E199" s="1" t="s">
        <v>19</v>
      </c>
      <c r="F199" s="1" t="s">
        <v>19</v>
      </c>
      <c r="G199" s="1" t="s">
        <v>19</v>
      </c>
      <c r="H199" s="1" t="s">
        <v>19</v>
      </c>
    </row>
    <row r="200" spans="1:8" ht="59" x14ac:dyDescent="0.75">
      <c r="A200" s="1" t="s">
        <v>16</v>
      </c>
      <c r="B200" s="1" t="s">
        <v>133</v>
      </c>
      <c r="C200" s="1" t="s">
        <v>46</v>
      </c>
      <c r="D200" s="1" t="s">
        <v>19</v>
      </c>
      <c r="E200" s="1" t="s">
        <v>19</v>
      </c>
      <c r="F200" s="1" t="s">
        <v>19</v>
      </c>
      <c r="G200" s="1" t="s">
        <v>19</v>
      </c>
      <c r="H200" s="1" t="s">
        <v>19</v>
      </c>
    </row>
    <row r="201" spans="1:8" ht="44.25" x14ac:dyDescent="0.75">
      <c r="A201" s="1" t="s">
        <v>62</v>
      </c>
      <c r="B201" s="1" t="s">
        <v>37</v>
      </c>
      <c r="C201" s="1" t="s">
        <v>55</v>
      </c>
      <c r="D201" s="1" t="s">
        <v>19</v>
      </c>
      <c r="E201" s="1" t="s">
        <v>150</v>
      </c>
      <c r="F201" s="1" t="s">
        <v>19</v>
      </c>
      <c r="G201" s="1" t="s">
        <v>19</v>
      </c>
      <c r="H201" s="1" t="s">
        <v>19</v>
      </c>
    </row>
    <row r="202" spans="1:8" ht="103.25" x14ac:dyDescent="0.75">
      <c r="A202" s="1" t="s">
        <v>16</v>
      </c>
      <c r="B202" s="1" t="s">
        <v>28</v>
      </c>
      <c r="C202" s="1" t="s">
        <v>29</v>
      </c>
      <c r="D202" s="1" t="s">
        <v>19</v>
      </c>
      <c r="E202" s="1" t="s">
        <v>19</v>
      </c>
      <c r="F202" s="1" t="s">
        <v>19</v>
      </c>
      <c r="G202" s="1" t="s">
        <v>19</v>
      </c>
      <c r="H202" s="1" t="s">
        <v>151</v>
      </c>
    </row>
    <row r="203" spans="1:8" ht="59" x14ac:dyDescent="0.75">
      <c r="A203" s="1" t="s">
        <v>64</v>
      </c>
      <c r="B203" s="1" t="s">
        <v>25</v>
      </c>
      <c r="C203" s="1" t="s">
        <v>79</v>
      </c>
      <c r="D203" s="1" t="s">
        <v>152</v>
      </c>
      <c r="E203" s="1" t="s">
        <v>19</v>
      </c>
      <c r="F203" s="1" t="s">
        <v>19</v>
      </c>
      <c r="G203" s="1" t="s">
        <v>19</v>
      </c>
      <c r="H203" s="1" t="s">
        <v>19</v>
      </c>
    </row>
    <row r="204" spans="1:8" ht="88.5" x14ac:dyDescent="0.75">
      <c r="A204" s="1" t="s">
        <v>64</v>
      </c>
      <c r="B204" s="1" t="s">
        <v>31</v>
      </c>
      <c r="C204" s="1" t="s">
        <v>79</v>
      </c>
      <c r="D204" s="1" t="s">
        <v>19</v>
      </c>
      <c r="E204" s="1" t="s">
        <v>19</v>
      </c>
      <c r="F204" s="1" t="s">
        <v>19</v>
      </c>
      <c r="G204" s="1" t="s">
        <v>19</v>
      </c>
      <c r="H204" s="1" t="s">
        <v>19</v>
      </c>
    </row>
    <row r="205" spans="1:8" ht="73.75" x14ac:dyDescent="0.75">
      <c r="A205" s="1" t="s">
        <v>24</v>
      </c>
      <c r="B205" s="1" t="s">
        <v>25</v>
      </c>
      <c r="C205" s="1" t="s">
        <v>47</v>
      </c>
      <c r="D205" s="1" t="s">
        <v>19</v>
      </c>
      <c r="E205" s="1" t="s">
        <v>19</v>
      </c>
      <c r="F205" s="1" t="s">
        <v>19</v>
      </c>
      <c r="G205" s="1" t="s">
        <v>19</v>
      </c>
      <c r="H205" s="1" t="s">
        <v>19</v>
      </c>
    </row>
    <row r="206" spans="1:8" ht="59" x14ac:dyDescent="0.75">
      <c r="A206" s="1" t="s">
        <v>21</v>
      </c>
      <c r="B206" s="1" t="s">
        <v>25</v>
      </c>
      <c r="C206" s="1" t="s">
        <v>55</v>
      </c>
      <c r="D206" s="1" t="s">
        <v>19</v>
      </c>
      <c r="E206" s="1" t="s">
        <v>19</v>
      </c>
      <c r="F206" s="1" t="s">
        <v>19</v>
      </c>
      <c r="G206" s="1" t="s">
        <v>19</v>
      </c>
      <c r="H206" s="1" t="s">
        <v>19</v>
      </c>
    </row>
    <row r="207" spans="1:8" ht="59" x14ac:dyDescent="0.75">
      <c r="A207" s="1" t="s">
        <v>24</v>
      </c>
      <c r="B207" s="1" t="s">
        <v>25</v>
      </c>
      <c r="C207" s="1" t="s">
        <v>46</v>
      </c>
      <c r="D207" s="1" t="s">
        <v>19</v>
      </c>
      <c r="E207" s="1" t="s">
        <v>19</v>
      </c>
      <c r="F207" s="1" t="s">
        <v>19</v>
      </c>
      <c r="G207" s="1" t="s">
        <v>19</v>
      </c>
      <c r="H207" s="1" t="s">
        <v>153</v>
      </c>
    </row>
    <row r="208" spans="1:8" ht="88.5" x14ac:dyDescent="0.75">
      <c r="A208" s="1" t="s">
        <v>21</v>
      </c>
      <c r="B208" s="1" t="s">
        <v>28</v>
      </c>
      <c r="C208" s="1" t="s">
        <v>44</v>
      </c>
      <c r="D208" s="1" t="s">
        <v>19</v>
      </c>
      <c r="E208" s="1" t="s">
        <v>19</v>
      </c>
      <c r="F208" s="1" t="s">
        <v>19</v>
      </c>
      <c r="G208" s="1" t="s">
        <v>19</v>
      </c>
      <c r="H208" s="1" t="s">
        <v>19</v>
      </c>
    </row>
    <row r="209" spans="1:8" ht="73.75" x14ac:dyDescent="0.75">
      <c r="A209" s="1" t="s">
        <v>16</v>
      </c>
      <c r="B209" s="1" t="s">
        <v>17</v>
      </c>
      <c r="C209" s="1" t="s">
        <v>55</v>
      </c>
      <c r="D209" s="1" t="s">
        <v>154</v>
      </c>
      <c r="E209" s="1" t="s">
        <v>19</v>
      </c>
      <c r="F209" s="1" t="s">
        <v>19</v>
      </c>
      <c r="G209" s="1" t="s">
        <v>19</v>
      </c>
      <c r="H209" s="1" t="s">
        <v>19</v>
      </c>
    </row>
    <row r="210" spans="1:8" ht="103.25" x14ac:dyDescent="0.75">
      <c r="A210" s="1" t="s">
        <v>64</v>
      </c>
      <c r="B210" s="1" t="s">
        <v>25</v>
      </c>
      <c r="C210" s="1" t="s">
        <v>29</v>
      </c>
      <c r="D210" s="1" t="s">
        <v>19</v>
      </c>
      <c r="E210" s="1" t="s">
        <v>19</v>
      </c>
      <c r="F210" s="1" t="s">
        <v>19</v>
      </c>
      <c r="G210" s="1" t="s">
        <v>19</v>
      </c>
      <c r="H210" s="1" t="s">
        <v>19</v>
      </c>
    </row>
    <row r="211" spans="1:8" ht="59" x14ac:dyDescent="0.75">
      <c r="A211" s="1" t="s">
        <v>21</v>
      </c>
      <c r="B211" s="1" t="s">
        <v>22</v>
      </c>
      <c r="C211" s="1" t="s">
        <v>69</v>
      </c>
      <c r="D211" s="1" t="s">
        <v>19</v>
      </c>
      <c r="E211" s="1" t="s">
        <v>19</v>
      </c>
      <c r="F211" s="1" t="s">
        <v>19</v>
      </c>
      <c r="G211" s="1" t="s">
        <v>19</v>
      </c>
      <c r="H211" s="1" t="s">
        <v>19</v>
      </c>
    </row>
    <row r="212" spans="1:8" ht="59" x14ac:dyDescent="0.75">
      <c r="A212" s="1" t="s">
        <v>24</v>
      </c>
      <c r="B212" s="1" t="s">
        <v>22</v>
      </c>
      <c r="C212" s="1" t="s">
        <v>33</v>
      </c>
      <c r="D212" s="1" t="s">
        <v>19</v>
      </c>
      <c r="E212" s="1" t="s">
        <v>19</v>
      </c>
      <c r="F212" s="1" t="s">
        <v>19</v>
      </c>
      <c r="G212" s="1" t="s">
        <v>19</v>
      </c>
      <c r="H212" s="1" t="s">
        <v>19</v>
      </c>
    </row>
    <row r="213" spans="1:8" ht="59" x14ac:dyDescent="0.75">
      <c r="A213" s="1" t="s">
        <v>30</v>
      </c>
      <c r="B213" s="1" t="s">
        <v>25</v>
      </c>
      <c r="C213" s="1" t="s">
        <v>63</v>
      </c>
      <c r="D213" s="1" t="s">
        <v>19</v>
      </c>
      <c r="E213" s="1" t="s">
        <v>19</v>
      </c>
      <c r="F213" s="1" t="s">
        <v>19</v>
      </c>
      <c r="G213" s="1" t="s">
        <v>19</v>
      </c>
      <c r="H213" s="1" t="s">
        <v>19</v>
      </c>
    </row>
    <row r="214" spans="1:8" ht="59" x14ac:dyDescent="0.75">
      <c r="A214" s="1" t="s">
        <v>64</v>
      </c>
      <c r="B214" s="1" t="s">
        <v>37</v>
      </c>
      <c r="C214" s="1" t="s">
        <v>33</v>
      </c>
      <c r="D214" s="1" t="s">
        <v>155</v>
      </c>
      <c r="E214" s="1" t="s">
        <v>19</v>
      </c>
      <c r="F214" s="1" t="s">
        <v>19</v>
      </c>
      <c r="G214" s="1" t="s">
        <v>19</v>
      </c>
      <c r="H214" s="1" t="s">
        <v>19</v>
      </c>
    </row>
    <row r="215" spans="1:8" ht="59" x14ac:dyDescent="0.75">
      <c r="A215" s="1" t="s">
        <v>24</v>
      </c>
      <c r="B215" s="1" t="s">
        <v>25</v>
      </c>
      <c r="C215" s="1" t="s">
        <v>23</v>
      </c>
      <c r="D215" s="1" t="s">
        <v>19</v>
      </c>
      <c r="E215" s="1" t="s">
        <v>19</v>
      </c>
      <c r="F215" s="1" t="s">
        <v>19</v>
      </c>
      <c r="G215" s="1" t="s">
        <v>19</v>
      </c>
      <c r="H215" s="1" t="s">
        <v>19</v>
      </c>
    </row>
    <row r="216" spans="1:8" ht="59" x14ac:dyDescent="0.75">
      <c r="A216" s="1" t="s">
        <v>24</v>
      </c>
      <c r="B216" s="1" t="s">
        <v>25</v>
      </c>
      <c r="C216" s="1" t="s">
        <v>63</v>
      </c>
      <c r="D216" s="1" t="s">
        <v>19</v>
      </c>
      <c r="E216" s="1" t="s">
        <v>19</v>
      </c>
      <c r="F216" s="1" t="s">
        <v>19</v>
      </c>
      <c r="G216" s="1" t="s">
        <v>156</v>
      </c>
      <c r="H216" s="1" t="s">
        <v>19</v>
      </c>
    </row>
    <row r="217" spans="1:8" ht="88.5" x14ac:dyDescent="0.75">
      <c r="A217" s="1" t="s">
        <v>24</v>
      </c>
      <c r="B217" s="1" t="s">
        <v>28</v>
      </c>
      <c r="C217" s="1" t="s">
        <v>33</v>
      </c>
      <c r="D217" s="1" t="s">
        <v>19</v>
      </c>
      <c r="E217" s="1" t="s">
        <v>19</v>
      </c>
      <c r="F217" s="1" t="s">
        <v>19</v>
      </c>
      <c r="G217" s="1" t="s">
        <v>19</v>
      </c>
      <c r="H217" s="1" t="s">
        <v>19</v>
      </c>
    </row>
    <row r="218" spans="1:8" ht="103.25" x14ac:dyDescent="0.75">
      <c r="A218" s="1" t="s">
        <v>16</v>
      </c>
      <c r="B218" s="1" t="s">
        <v>25</v>
      </c>
      <c r="C218" s="1" t="s">
        <v>29</v>
      </c>
      <c r="D218" s="1" t="s">
        <v>19</v>
      </c>
      <c r="E218" s="1" t="s">
        <v>19</v>
      </c>
      <c r="F218" s="1" t="s">
        <v>19</v>
      </c>
      <c r="G218" s="1" t="s">
        <v>157</v>
      </c>
      <c r="H218" s="1" t="s">
        <v>19</v>
      </c>
    </row>
    <row r="219" spans="1:8" ht="44.25" x14ac:dyDescent="0.75">
      <c r="A219" s="1" t="s">
        <v>77</v>
      </c>
      <c r="B219" s="1" t="s">
        <v>37</v>
      </c>
      <c r="C219" s="1" t="s">
        <v>38</v>
      </c>
      <c r="D219" s="1" t="s">
        <v>19</v>
      </c>
      <c r="E219" s="1" t="s">
        <v>19</v>
      </c>
      <c r="F219" s="1" t="s">
        <v>19</v>
      </c>
      <c r="G219" s="1" t="s">
        <v>19</v>
      </c>
      <c r="H219" s="1" t="s">
        <v>158</v>
      </c>
    </row>
    <row r="220" spans="1:8" ht="88.5" x14ac:dyDescent="0.75">
      <c r="A220" s="1" t="s">
        <v>30</v>
      </c>
      <c r="B220" s="1" t="s">
        <v>28</v>
      </c>
      <c r="C220" s="1" t="s">
        <v>47</v>
      </c>
      <c r="D220" s="1" t="s">
        <v>19</v>
      </c>
      <c r="E220" s="1" t="s">
        <v>19</v>
      </c>
      <c r="F220" s="1" t="s">
        <v>19</v>
      </c>
      <c r="G220" s="1" t="s">
        <v>19</v>
      </c>
      <c r="H220" s="1" t="s">
        <v>19</v>
      </c>
    </row>
    <row r="221" spans="1:8" ht="59" x14ac:dyDescent="0.75">
      <c r="A221" s="1" t="s">
        <v>24</v>
      </c>
      <c r="B221" s="1" t="s">
        <v>37</v>
      </c>
      <c r="C221" s="1" t="s">
        <v>40</v>
      </c>
      <c r="D221" s="1" t="s">
        <v>19</v>
      </c>
      <c r="E221" s="1" t="s">
        <v>19</v>
      </c>
      <c r="F221" s="1" t="s">
        <v>19</v>
      </c>
      <c r="G221" s="1" t="s">
        <v>19</v>
      </c>
      <c r="H221" s="1" t="s">
        <v>19</v>
      </c>
    </row>
    <row r="222" spans="1:8" ht="59" x14ac:dyDescent="0.75">
      <c r="A222" s="1" t="s">
        <v>16</v>
      </c>
      <c r="B222" s="1" t="s">
        <v>25</v>
      </c>
      <c r="C222" s="1" t="s">
        <v>42</v>
      </c>
      <c r="D222" s="1" t="s">
        <v>19</v>
      </c>
      <c r="E222" s="1" t="s">
        <v>19</v>
      </c>
      <c r="F222" s="1" t="s">
        <v>19</v>
      </c>
      <c r="G222" s="1" t="s">
        <v>19</v>
      </c>
      <c r="H222" s="1" t="s">
        <v>19</v>
      </c>
    </row>
    <row r="223" spans="1:8" ht="44.25" x14ac:dyDescent="0.75">
      <c r="A223" s="1" t="s">
        <v>30</v>
      </c>
      <c r="B223" s="1" t="s">
        <v>22</v>
      </c>
      <c r="C223" s="1" t="s">
        <v>23</v>
      </c>
      <c r="D223" s="1" t="s">
        <v>19</v>
      </c>
      <c r="E223" s="1" t="s">
        <v>19</v>
      </c>
      <c r="F223" s="1" t="s">
        <v>19</v>
      </c>
      <c r="G223" s="1" t="s">
        <v>19</v>
      </c>
      <c r="H223" s="1" t="s">
        <v>19</v>
      </c>
    </row>
    <row r="224" spans="1:8" ht="88.5" x14ac:dyDescent="0.75">
      <c r="A224" s="1" t="s">
        <v>16</v>
      </c>
      <c r="B224" s="1" t="s">
        <v>28</v>
      </c>
      <c r="C224" s="1" t="s">
        <v>40</v>
      </c>
      <c r="D224" s="1" t="s">
        <v>19</v>
      </c>
      <c r="E224" s="1" t="s">
        <v>159</v>
      </c>
      <c r="F224" s="1" t="s">
        <v>19</v>
      </c>
      <c r="G224" s="1" t="s">
        <v>19</v>
      </c>
      <c r="H224" s="1" t="s">
        <v>19</v>
      </c>
    </row>
    <row r="225" spans="1:8" ht="103.25" x14ac:dyDescent="0.75">
      <c r="A225" s="1" t="s">
        <v>24</v>
      </c>
      <c r="B225" s="1" t="s">
        <v>28</v>
      </c>
      <c r="C225" s="1" t="s">
        <v>29</v>
      </c>
      <c r="D225" s="1" t="s">
        <v>19</v>
      </c>
      <c r="E225" s="1" t="s">
        <v>160</v>
      </c>
      <c r="F225" s="1" t="s">
        <v>19</v>
      </c>
      <c r="G225" s="1" t="s">
        <v>19</v>
      </c>
      <c r="H225" s="1" t="s">
        <v>19</v>
      </c>
    </row>
    <row r="226" spans="1:8" ht="88.5" x14ac:dyDescent="0.75">
      <c r="A226" s="1" t="s">
        <v>64</v>
      </c>
      <c r="B226" s="1" t="s">
        <v>31</v>
      </c>
      <c r="C226" s="1" t="s">
        <v>40</v>
      </c>
      <c r="D226" s="1" t="s">
        <v>161</v>
      </c>
      <c r="E226" s="1" t="s">
        <v>19</v>
      </c>
      <c r="F226" s="1" t="s">
        <v>19</v>
      </c>
      <c r="G226" s="1" t="s">
        <v>19</v>
      </c>
      <c r="H226" s="1" t="s">
        <v>19</v>
      </c>
    </row>
    <row r="227" spans="1:8" ht="44.25" x14ac:dyDescent="0.75">
      <c r="A227" s="1" t="s">
        <v>21</v>
      </c>
      <c r="B227" s="1" t="s">
        <v>22</v>
      </c>
      <c r="C227" s="1" t="s">
        <v>105</v>
      </c>
      <c r="D227" s="1" t="s">
        <v>19</v>
      </c>
      <c r="E227" s="1" t="s">
        <v>19</v>
      </c>
      <c r="F227" s="1" t="s">
        <v>19</v>
      </c>
      <c r="G227" s="1" t="s">
        <v>19</v>
      </c>
      <c r="H227" s="1" t="s">
        <v>162</v>
      </c>
    </row>
    <row r="228" spans="1:8" ht="59" x14ac:dyDescent="0.75">
      <c r="A228" s="1" t="s">
        <v>24</v>
      </c>
      <c r="B228" s="1" t="s">
        <v>37</v>
      </c>
      <c r="C228" s="1" t="s">
        <v>40</v>
      </c>
      <c r="D228" s="1" t="s">
        <v>19</v>
      </c>
      <c r="E228" s="1" t="s">
        <v>19</v>
      </c>
      <c r="F228" s="1" t="s">
        <v>19</v>
      </c>
      <c r="G228" s="1" t="s">
        <v>19</v>
      </c>
      <c r="H228" s="1" t="s">
        <v>163</v>
      </c>
    </row>
    <row r="229" spans="1:8" ht="88.5" x14ac:dyDescent="0.75">
      <c r="A229" s="1" t="s">
        <v>21</v>
      </c>
      <c r="B229" s="1" t="s">
        <v>28</v>
      </c>
      <c r="C229" s="1" t="s">
        <v>18</v>
      </c>
      <c r="D229" s="1" t="s">
        <v>19</v>
      </c>
      <c r="E229" s="1" t="s">
        <v>19</v>
      </c>
      <c r="F229" s="1" t="s">
        <v>19</v>
      </c>
      <c r="G229" s="1" t="s">
        <v>19</v>
      </c>
      <c r="H229" s="1" t="s">
        <v>19</v>
      </c>
    </row>
    <row r="230" spans="1:8" ht="59" x14ac:dyDescent="0.75">
      <c r="A230" s="1" t="s">
        <v>24</v>
      </c>
      <c r="B230" s="1" t="s">
        <v>25</v>
      </c>
      <c r="C230" s="1" t="s">
        <v>35</v>
      </c>
      <c r="D230" s="1" t="s">
        <v>19</v>
      </c>
      <c r="E230" s="1" t="s">
        <v>19</v>
      </c>
      <c r="F230" s="1" t="s">
        <v>19</v>
      </c>
      <c r="G230" s="1" t="s">
        <v>19</v>
      </c>
      <c r="H230" s="1" t="s">
        <v>164</v>
      </c>
    </row>
    <row r="231" spans="1:8" ht="88.5" x14ac:dyDescent="0.75">
      <c r="A231" s="1" t="s">
        <v>24</v>
      </c>
      <c r="B231" s="1" t="s">
        <v>28</v>
      </c>
      <c r="C231" s="1" t="s">
        <v>105</v>
      </c>
      <c r="D231" s="1" t="s">
        <v>19</v>
      </c>
      <c r="E231" s="1" t="s">
        <v>19</v>
      </c>
      <c r="F231" s="1" t="s">
        <v>19</v>
      </c>
      <c r="G231" s="1" t="s">
        <v>19</v>
      </c>
      <c r="H231" s="1" t="s">
        <v>165</v>
      </c>
    </row>
    <row r="232" spans="1:8" ht="59" x14ac:dyDescent="0.75">
      <c r="A232" s="1" t="s">
        <v>24</v>
      </c>
      <c r="B232" s="1" t="s">
        <v>25</v>
      </c>
      <c r="C232" s="1" t="s">
        <v>33</v>
      </c>
      <c r="D232" s="1" t="s">
        <v>19</v>
      </c>
      <c r="E232" s="1" t="s">
        <v>166</v>
      </c>
      <c r="F232" s="1" t="s">
        <v>19</v>
      </c>
      <c r="G232" s="1" t="s">
        <v>19</v>
      </c>
      <c r="H232" s="1" t="s">
        <v>19</v>
      </c>
    </row>
    <row r="233" spans="1:8" ht="59" x14ac:dyDescent="0.75">
      <c r="A233" s="1" t="s">
        <v>30</v>
      </c>
      <c r="B233" s="1" t="s">
        <v>22</v>
      </c>
      <c r="C233" s="1" t="s">
        <v>42</v>
      </c>
      <c r="D233" s="1" t="s">
        <v>19</v>
      </c>
      <c r="E233" s="1" t="s">
        <v>167</v>
      </c>
      <c r="F233" s="1" t="s">
        <v>19</v>
      </c>
      <c r="G233" s="1" t="s">
        <v>19</v>
      </c>
      <c r="H233" s="1" t="s">
        <v>19</v>
      </c>
    </row>
    <row r="234" spans="1:8" ht="88.5" x14ac:dyDescent="0.75">
      <c r="A234" s="1" t="s">
        <v>24</v>
      </c>
      <c r="B234" s="1" t="s">
        <v>25</v>
      </c>
      <c r="C234" s="1" t="s">
        <v>44</v>
      </c>
      <c r="D234" s="1" t="s">
        <v>168</v>
      </c>
      <c r="E234" s="1" t="s">
        <v>19</v>
      </c>
      <c r="F234" s="1" t="s">
        <v>19</v>
      </c>
      <c r="G234" s="1" t="s">
        <v>19</v>
      </c>
      <c r="H234" s="1" t="s">
        <v>19</v>
      </c>
    </row>
    <row r="235" spans="1:8" ht="59" x14ac:dyDescent="0.75">
      <c r="A235" s="1" t="s">
        <v>21</v>
      </c>
      <c r="B235" s="1" t="s">
        <v>25</v>
      </c>
      <c r="C235" s="1" t="s">
        <v>44</v>
      </c>
      <c r="D235" s="1" t="s">
        <v>19</v>
      </c>
      <c r="E235" s="1" t="s">
        <v>19</v>
      </c>
      <c r="F235" s="1" t="s">
        <v>19</v>
      </c>
      <c r="G235" s="1" t="s">
        <v>19</v>
      </c>
      <c r="H235" s="1" t="s">
        <v>19</v>
      </c>
    </row>
    <row r="236" spans="1:8" ht="44.25" x14ac:dyDescent="0.75">
      <c r="A236" s="1" t="s">
        <v>64</v>
      </c>
      <c r="B236" s="1" t="s">
        <v>37</v>
      </c>
      <c r="C236" s="1" t="s">
        <v>79</v>
      </c>
      <c r="D236" s="1" t="s">
        <v>19</v>
      </c>
      <c r="E236" s="1" t="s">
        <v>19</v>
      </c>
      <c r="F236" s="1" t="s">
        <v>19</v>
      </c>
      <c r="G236" s="1" t="s">
        <v>19</v>
      </c>
      <c r="H236" s="1" t="s">
        <v>19</v>
      </c>
    </row>
    <row r="237" spans="1:8" ht="59" x14ac:dyDescent="0.75">
      <c r="A237" s="1" t="s">
        <v>21</v>
      </c>
      <c r="B237" s="1" t="s">
        <v>25</v>
      </c>
      <c r="C237" s="1" t="s">
        <v>44</v>
      </c>
      <c r="D237" s="1" t="s">
        <v>19</v>
      </c>
      <c r="E237" s="1" t="s">
        <v>19</v>
      </c>
      <c r="F237" s="1" t="s">
        <v>19</v>
      </c>
      <c r="G237" s="1" t="s">
        <v>19</v>
      </c>
      <c r="H237" s="1" t="s">
        <v>19</v>
      </c>
    </row>
    <row r="238" spans="1:8" ht="88.5" x14ac:dyDescent="0.75">
      <c r="A238" s="1" t="s">
        <v>62</v>
      </c>
      <c r="B238" s="1" t="s">
        <v>28</v>
      </c>
      <c r="C238" s="1" t="s">
        <v>38</v>
      </c>
      <c r="D238" s="1" t="s">
        <v>19</v>
      </c>
      <c r="E238" s="1" t="s">
        <v>19</v>
      </c>
      <c r="F238" s="1" t="s">
        <v>19</v>
      </c>
      <c r="G238" s="1" t="s">
        <v>19</v>
      </c>
      <c r="H238" s="1" t="s">
        <v>19</v>
      </c>
    </row>
    <row r="239" spans="1:8" ht="59" x14ac:dyDescent="0.75">
      <c r="A239" s="1" t="s">
        <v>30</v>
      </c>
      <c r="B239" s="1" t="s">
        <v>25</v>
      </c>
      <c r="C239" s="1" t="s">
        <v>38</v>
      </c>
      <c r="D239" s="1" t="s">
        <v>19</v>
      </c>
      <c r="E239" s="1" t="s">
        <v>19</v>
      </c>
      <c r="F239" s="1" t="s">
        <v>169</v>
      </c>
      <c r="G239" s="1" t="s">
        <v>19</v>
      </c>
      <c r="H239" s="1" t="s">
        <v>19</v>
      </c>
    </row>
    <row r="240" spans="1:8" ht="59" x14ac:dyDescent="0.75">
      <c r="A240" s="1" t="s">
        <v>21</v>
      </c>
      <c r="B240" s="1" t="s">
        <v>37</v>
      </c>
      <c r="C240" s="1" t="s">
        <v>69</v>
      </c>
      <c r="D240" s="1" t="s">
        <v>19</v>
      </c>
      <c r="E240" s="1" t="s">
        <v>19</v>
      </c>
      <c r="F240" s="1" t="s">
        <v>19</v>
      </c>
      <c r="G240" s="1" t="s">
        <v>19</v>
      </c>
      <c r="H240" s="1" t="s">
        <v>19</v>
      </c>
    </row>
    <row r="241" spans="1:8" ht="88.5" x14ac:dyDescent="0.75">
      <c r="A241" s="1" t="s">
        <v>24</v>
      </c>
      <c r="B241" s="1" t="s">
        <v>28</v>
      </c>
      <c r="C241" s="1" t="s">
        <v>40</v>
      </c>
      <c r="D241" s="1" t="s">
        <v>19</v>
      </c>
      <c r="E241" s="1" t="s">
        <v>170</v>
      </c>
      <c r="F241" s="1" t="s">
        <v>19</v>
      </c>
      <c r="G241" s="1" t="s">
        <v>19</v>
      </c>
      <c r="H241" s="1" t="s">
        <v>19</v>
      </c>
    </row>
    <row r="242" spans="1:8" ht="88.5" x14ac:dyDescent="0.75">
      <c r="A242" s="1" t="s">
        <v>16</v>
      </c>
      <c r="B242" s="1" t="s">
        <v>31</v>
      </c>
      <c r="C242" s="1" t="s">
        <v>33</v>
      </c>
      <c r="D242" s="1" t="s">
        <v>19</v>
      </c>
      <c r="E242" s="1" t="s">
        <v>19</v>
      </c>
      <c r="F242" s="1" t="s">
        <v>171</v>
      </c>
      <c r="G242" s="1" t="s">
        <v>19</v>
      </c>
      <c r="H242" s="1" t="s">
        <v>19</v>
      </c>
    </row>
    <row r="243" spans="1:8" ht="59" x14ac:dyDescent="0.75">
      <c r="A243" s="1" t="s">
        <v>21</v>
      </c>
      <c r="B243" s="1" t="s">
        <v>25</v>
      </c>
      <c r="C243" s="1" t="s">
        <v>26</v>
      </c>
      <c r="D243" s="1" t="s">
        <v>19</v>
      </c>
      <c r="E243" s="1" t="s">
        <v>19</v>
      </c>
      <c r="F243" s="1" t="s">
        <v>19</v>
      </c>
      <c r="G243" s="1" t="s">
        <v>172</v>
      </c>
      <c r="H243" s="1" t="s">
        <v>19</v>
      </c>
    </row>
    <row r="244" spans="1:8" ht="59" x14ac:dyDescent="0.75">
      <c r="A244" s="1" t="s">
        <v>24</v>
      </c>
      <c r="B244" s="1" t="s">
        <v>25</v>
      </c>
      <c r="C244" s="1" t="s">
        <v>33</v>
      </c>
      <c r="D244" s="1" t="s">
        <v>19</v>
      </c>
      <c r="E244" s="1" t="s">
        <v>19</v>
      </c>
      <c r="F244" s="1" t="s">
        <v>19</v>
      </c>
      <c r="G244" s="1" t="s">
        <v>173</v>
      </c>
      <c r="H244" s="1" t="s">
        <v>19</v>
      </c>
    </row>
    <row r="245" spans="1:8" ht="29.5" x14ac:dyDescent="0.75">
      <c r="A245" s="1" t="s">
        <v>21</v>
      </c>
      <c r="B245" s="1" t="s">
        <v>22</v>
      </c>
      <c r="C245" s="1" t="s">
        <v>18</v>
      </c>
      <c r="D245" s="1" t="s">
        <v>19</v>
      </c>
      <c r="E245" s="1" t="s">
        <v>19</v>
      </c>
      <c r="F245" s="1" t="s">
        <v>174</v>
      </c>
      <c r="G245" s="1" t="s">
        <v>19</v>
      </c>
      <c r="H245" s="1" t="s">
        <v>19</v>
      </c>
    </row>
    <row r="246" spans="1:8" ht="29.5" x14ac:dyDescent="0.75">
      <c r="A246" s="1" t="s">
        <v>16</v>
      </c>
      <c r="B246" s="1" t="s">
        <v>22</v>
      </c>
      <c r="C246" s="1" t="s">
        <v>26</v>
      </c>
      <c r="D246" s="1" t="s">
        <v>19</v>
      </c>
      <c r="E246" s="1" t="s">
        <v>19</v>
      </c>
      <c r="F246" s="1" t="s">
        <v>19</v>
      </c>
      <c r="G246" s="1" t="s">
        <v>19</v>
      </c>
      <c r="H246" s="1" t="s">
        <v>19</v>
      </c>
    </row>
    <row r="247" spans="1:8" ht="88.5" x14ac:dyDescent="0.75">
      <c r="A247" s="1" t="s">
        <v>21</v>
      </c>
      <c r="B247" s="1" t="s">
        <v>28</v>
      </c>
      <c r="C247" s="1" t="s">
        <v>18</v>
      </c>
      <c r="D247" s="1" t="s">
        <v>19</v>
      </c>
      <c r="E247" s="1" t="s">
        <v>19</v>
      </c>
      <c r="F247" s="1" t="s">
        <v>175</v>
      </c>
      <c r="G247" s="1" t="s">
        <v>19</v>
      </c>
      <c r="H247" s="1" t="s">
        <v>19</v>
      </c>
    </row>
    <row r="248" spans="1:8" ht="59" x14ac:dyDescent="0.75">
      <c r="A248" s="1" t="s">
        <v>24</v>
      </c>
      <c r="B248" s="1" t="s">
        <v>25</v>
      </c>
      <c r="C248" s="1" t="s">
        <v>63</v>
      </c>
      <c r="D248" s="1" t="s">
        <v>19</v>
      </c>
      <c r="E248" s="1" t="s">
        <v>19</v>
      </c>
      <c r="F248" s="1" t="s">
        <v>176</v>
      </c>
      <c r="G248" s="1" t="s">
        <v>19</v>
      </c>
      <c r="H248" s="1" t="s">
        <v>19</v>
      </c>
    </row>
    <row r="249" spans="1:8" ht="88.5" x14ac:dyDescent="0.75">
      <c r="A249" s="1" t="s">
        <v>16</v>
      </c>
      <c r="B249" s="1" t="s">
        <v>31</v>
      </c>
      <c r="C249" s="1" t="s">
        <v>44</v>
      </c>
      <c r="D249" s="1" t="s">
        <v>19</v>
      </c>
      <c r="E249" s="1" t="s">
        <v>19</v>
      </c>
      <c r="F249" s="1" t="s">
        <v>177</v>
      </c>
      <c r="G249" s="1" t="s">
        <v>19</v>
      </c>
      <c r="H249" s="1" t="s">
        <v>19</v>
      </c>
    </row>
    <row r="250" spans="1:8" ht="103.25" x14ac:dyDescent="0.75">
      <c r="A250" s="1" t="s">
        <v>24</v>
      </c>
      <c r="B250" s="1" t="s">
        <v>17</v>
      </c>
      <c r="C250" s="1" t="s">
        <v>29</v>
      </c>
      <c r="D250" s="1" t="s">
        <v>19</v>
      </c>
      <c r="E250" s="1" t="s">
        <v>19</v>
      </c>
      <c r="F250" s="1" t="s">
        <v>19</v>
      </c>
      <c r="G250" s="1" t="s">
        <v>19</v>
      </c>
      <c r="H250" s="1" t="s">
        <v>19</v>
      </c>
    </row>
    <row r="251" spans="1:8" ht="59" x14ac:dyDescent="0.75">
      <c r="A251" s="1" t="s">
        <v>21</v>
      </c>
      <c r="B251" s="1" t="s">
        <v>25</v>
      </c>
      <c r="C251" s="1" t="s">
        <v>42</v>
      </c>
      <c r="D251" s="1" t="s">
        <v>19</v>
      </c>
      <c r="E251" s="1" t="s">
        <v>19</v>
      </c>
      <c r="F251" s="1" t="s">
        <v>178</v>
      </c>
      <c r="G251" s="1" t="s">
        <v>19</v>
      </c>
      <c r="H251" s="1" t="s">
        <v>19</v>
      </c>
    </row>
    <row r="252" spans="1:8" ht="88.5" x14ac:dyDescent="0.75">
      <c r="A252" s="1" t="s">
        <v>16</v>
      </c>
      <c r="B252" s="1" t="s">
        <v>28</v>
      </c>
      <c r="C252" s="1" t="s">
        <v>46</v>
      </c>
      <c r="D252" s="1" t="s">
        <v>19</v>
      </c>
      <c r="E252" s="1" t="s">
        <v>19</v>
      </c>
      <c r="F252" s="1" t="s">
        <v>19</v>
      </c>
      <c r="G252" s="1" t="s">
        <v>19</v>
      </c>
      <c r="H252" s="1" t="s">
        <v>19</v>
      </c>
    </row>
    <row r="253" spans="1:8" ht="59" x14ac:dyDescent="0.75">
      <c r="A253" s="1" t="s">
        <v>64</v>
      </c>
      <c r="B253" s="1" t="s">
        <v>25</v>
      </c>
      <c r="C253" s="1" t="s">
        <v>69</v>
      </c>
      <c r="D253" s="1" t="s">
        <v>19</v>
      </c>
      <c r="E253" s="1" t="s">
        <v>19</v>
      </c>
      <c r="F253" s="1" t="s">
        <v>179</v>
      </c>
      <c r="G253" s="1" t="s">
        <v>19</v>
      </c>
      <c r="H253" s="1" t="s">
        <v>19</v>
      </c>
    </row>
    <row r="254" spans="1:8" ht="88.5" x14ac:dyDescent="0.75">
      <c r="A254" s="1" t="s">
        <v>77</v>
      </c>
      <c r="B254" s="1" t="s">
        <v>28</v>
      </c>
      <c r="C254" s="1" t="s">
        <v>38</v>
      </c>
      <c r="D254" s="1" t="s">
        <v>19</v>
      </c>
      <c r="E254" s="1" t="s">
        <v>19</v>
      </c>
      <c r="F254" s="1" t="s">
        <v>19</v>
      </c>
      <c r="G254" s="1" t="s">
        <v>19</v>
      </c>
      <c r="H254" s="1" t="s">
        <v>19</v>
      </c>
    </row>
    <row r="255" spans="1:8" ht="29.5" x14ac:dyDescent="0.75">
      <c r="A255" s="1" t="s">
        <v>62</v>
      </c>
      <c r="B255" s="1" t="s">
        <v>22</v>
      </c>
      <c r="C255" s="1" t="s">
        <v>38</v>
      </c>
      <c r="D255" s="1" t="s">
        <v>180</v>
      </c>
      <c r="E255" s="1" t="s">
        <v>19</v>
      </c>
      <c r="F255" s="1" t="s">
        <v>19</v>
      </c>
      <c r="G255" s="1" t="s">
        <v>19</v>
      </c>
      <c r="H255" s="1" t="s">
        <v>19</v>
      </c>
    </row>
    <row r="256" spans="1:8" ht="59" x14ac:dyDescent="0.75">
      <c r="A256" s="1" t="s">
        <v>30</v>
      </c>
      <c r="B256" s="1" t="s">
        <v>22</v>
      </c>
      <c r="C256" s="1" t="s">
        <v>40</v>
      </c>
      <c r="D256" s="1" t="s">
        <v>19</v>
      </c>
      <c r="E256" s="1" t="s">
        <v>19</v>
      </c>
      <c r="F256" s="1" t="s">
        <v>19</v>
      </c>
      <c r="G256" s="1" t="s">
        <v>19</v>
      </c>
      <c r="H256" s="1" t="s">
        <v>19</v>
      </c>
    </row>
    <row r="257" spans="1:8" ht="103.25" x14ac:dyDescent="0.75">
      <c r="A257" s="1" t="s">
        <v>16</v>
      </c>
      <c r="B257" s="1" t="s">
        <v>25</v>
      </c>
      <c r="C257" s="1" t="s">
        <v>29</v>
      </c>
      <c r="D257" s="1" t="s">
        <v>181</v>
      </c>
      <c r="E257" s="1" t="s">
        <v>19</v>
      </c>
      <c r="F257" s="1" t="s">
        <v>19</v>
      </c>
      <c r="G257" s="1" t="s">
        <v>19</v>
      </c>
      <c r="H257" s="1" t="s">
        <v>19</v>
      </c>
    </row>
    <row r="258" spans="1:8" ht="59" x14ac:dyDescent="0.75">
      <c r="A258" s="1" t="s">
        <v>16</v>
      </c>
      <c r="B258" s="1" t="s">
        <v>25</v>
      </c>
      <c r="C258" s="1" t="s">
        <v>38</v>
      </c>
      <c r="D258" s="1" t="s">
        <v>182</v>
      </c>
      <c r="E258" s="1" t="s">
        <v>19</v>
      </c>
      <c r="F258" s="1" t="s">
        <v>19</v>
      </c>
      <c r="G258" s="1" t="s">
        <v>19</v>
      </c>
      <c r="H258" s="1" t="s">
        <v>19</v>
      </c>
    </row>
    <row r="259" spans="1:8" ht="88.5" x14ac:dyDescent="0.75">
      <c r="A259" s="1" t="s">
        <v>21</v>
      </c>
      <c r="B259" s="1" t="s">
        <v>28</v>
      </c>
      <c r="C259" s="1" t="s">
        <v>40</v>
      </c>
      <c r="D259" s="1" t="s">
        <v>194</v>
      </c>
    </row>
    <row r="260" spans="1:8" ht="59" x14ac:dyDescent="0.75">
      <c r="A260" s="1" t="s">
        <v>21</v>
      </c>
      <c r="B260" s="1" t="s">
        <v>25</v>
      </c>
      <c r="C260" s="1" t="s">
        <v>44</v>
      </c>
      <c r="F260" s="1" t="s">
        <v>195</v>
      </c>
    </row>
    <row r="261" spans="1:8" ht="59" x14ac:dyDescent="0.75">
      <c r="A261" s="1" t="s">
        <v>24</v>
      </c>
      <c r="B261" s="1" t="s">
        <v>25</v>
      </c>
      <c r="C261" s="1" t="s">
        <v>23</v>
      </c>
      <c r="F261" s="1" t="s">
        <v>196</v>
      </c>
    </row>
  </sheetData>
  <autoFilter ref="A2:H261"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506C-9C7A-4806-80B4-39CE2923DE88}">
  <dimension ref="A1:O35"/>
  <sheetViews>
    <sheetView zoomScale="80" zoomScaleNormal="80" workbookViewId="0">
      <selection activeCell="I29" sqref="I29:N35"/>
    </sheetView>
  </sheetViews>
  <sheetFormatPr defaultRowHeight="14.75" x14ac:dyDescent="0.75"/>
  <cols>
    <col min="2" max="2" width="69.54296875" customWidth="1"/>
    <col min="7" max="7" width="46.40625" customWidth="1"/>
  </cols>
  <sheetData>
    <row r="1" spans="1:15" x14ac:dyDescent="0.75">
      <c r="A1" s="10"/>
      <c r="B1" s="10" t="s">
        <v>3</v>
      </c>
      <c r="C1" s="10"/>
      <c r="D1" s="10"/>
      <c r="E1" s="10"/>
      <c r="F1" s="10"/>
      <c r="G1" s="11" t="s">
        <v>199</v>
      </c>
      <c r="H1" s="10" t="s">
        <v>200</v>
      </c>
    </row>
    <row r="2" spans="1:15" x14ac:dyDescent="0.75">
      <c r="A2" s="10" t="s">
        <v>238</v>
      </c>
      <c r="B2" s="10" t="s">
        <v>183</v>
      </c>
      <c r="C2" s="10" t="s">
        <v>237</v>
      </c>
      <c r="D2" s="10" t="s">
        <v>201</v>
      </c>
      <c r="E2" s="10" t="s">
        <v>202</v>
      </c>
      <c r="F2" s="10" t="s">
        <v>203</v>
      </c>
      <c r="G2" s="11"/>
      <c r="H2" s="10"/>
    </row>
    <row r="3" spans="1:15" x14ac:dyDescent="0.75">
      <c r="B3" s="1" t="s">
        <v>36</v>
      </c>
      <c r="C3" s="3" t="b">
        <v>0</v>
      </c>
      <c r="D3" s="3" t="b">
        <v>0</v>
      </c>
      <c r="E3" s="3" t="b">
        <v>0</v>
      </c>
      <c r="F3" s="3" t="b">
        <v>1</v>
      </c>
      <c r="G3" s="7" t="s">
        <v>219</v>
      </c>
      <c r="H3">
        <v>3</v>
      </c>
      <c r="I3" s="16" t="s">
        <v>11</v>
      </c>
      <c r="J3" s="16"/>
      <c r="K3" s="16"/>
      <c r="L3" s="16"/>
      <c r="M3" s="16"/>
      <c r="N3" s="16"/>
      <c r="O3" s="16"/>
    </row>
    <row r="4" spans="1:15" x14ac:dyDescent="0.75">
      <c r="B4" s="1" t="s">
        <v>56</v>
      </c>
      <c r="C4" s="3" t="b">
        <v>1</v>
      </c>
      <c r="D4" s="3" t="b">
        <v>0</v>
      </c>
      <c r="E4" s="3" t="b">
        <v>0</v>
      </c>
      <c r="F4" s="3" t="b">
        <v>0</v>
      </c>
      <c r="G4" s="7" t="s">
        <v>204</v>
      </c>
      <c r="H4">
        <v>3</v>
      </c>
      <c r="I4" s="16"/>
      <c r="J4" s="16"/>
      <c r="K4" s="16"/>
      <c r="L4" s="16"/>
      <c r="M4" s="16"/>
      <c r="N4" s="16"/>
      <c r="O4" s="16"/>
    </row>
    <row r="5" spans="1:15" x14ac:dyDescent="0.75">
      <c r="B5" s="1" t="s">
        <v>65</v>
      </c>
      <c r="C5" s="3" t="b">
        <v>1</v>
      </c>
      <c r="D5" s="3" t="b">
        <v>0</v>
      </c>
      <c r="E5" s="3" t="b">
        <v>0</v>
      </c>
      <c r="F5" s="3" t="b">
        <v>0</v>
      </c>
      <c r="G5" s="7" t="s">
        <v>204</v>
      </c>
      <c r="H5">
        <v>3</v>
      </c>
      <c r="I5" s="16"/>
      <c r="J5" s="16"/>
      <c r="K5" s="16"/>
      <c r="L5" s="16"/>
      <c r="M5" s="16"/>
      <c r="N5" s="16"/>
      <c r="O5" s="16"/>
    </row>
    <row r="6" spans="1:15" x14ac:dyDescent="0.75">
      <c r="A6" t="s">
        <v>239</v>
      </c>
      <c r="B6" s="12" t="s">
        <v>74</v>
      </c>
      <c r="C6" s="3" t="b">
        <v>0</v>
      </c>
      <c r="D6" s="3" t="b">
        <v>0</v>
      </c>
      <c r="E6" s="3" t="s">
        <v>235</v>
      </c>
      <c r="F6" s="3" t="b">
        <v>0</v>
      </c>
      <c r="G6" s="7" t="s">
        <v>205</v>
      </c>
      <c r="H6">
        <v>3</v>
      </c>
      <c r="I6" s="16"/>
      <c r="J6" s="16"/>
      <c r="K6" s="16"/>
      <c r="L6" s="16"/>
      <c r="M6" s="16"/>
      <c r="N6" s="16"/>
      <c r="O6" s="16"/>
    </row>
    <row r="7" spans="1:15" x14ac:dyDescent="0.75">
      <c r="B7" s="1" t="s">
        <v>81</v>
      </c>
      <c r="C7" s="3" t="b">
        <v>0</v>
      </c>
      <c r="D7" s="3" t="b">
        <v>0</v>
      </c>
      <c r="E7" s="3" t="b">
        <v>1</v>
      </c>
      <c r="F7" s="3" t="b">
        <v>0</v>
      </c>
      <c r="G7" s="7" t="s">
        <v>205</v>
      </c>
      <c r="H7">
        <v>3</v>
      </c>
      <c r="I7" s="16"/>
      <c r="J7" s="16"/>
      <c r="K7" s="16"/>
      <c r="L7" s="16"/>
      <c r="M7" s="16"/>
      <c r="N7" s="16"/>
      <c r="O7" s="16"/>
    </row>
    <row r="8" spans="1:15" x14ac:dyDescent="0.75">
      <c r="B8" s="1" t="s">
        <v>83</v>
      </c>
      <c r="C8" s="3" t="b">
        <v>0</v>
      </c>
      <c r="D8" s="3" t="b">
        <v>1</v>
      </c>
      <c r="E8" s="3" t="b">
        <v>0</v>
      </c>
      <c r="F8" s="3" t="b">
        <v>0</v>
      </c>
      <c r="G8" s="7" t="s">
        <v>220</v>
      </c>
      <c r="H8">
        <v>3</v>
      </c>
      <c r="I8" s="16"/>
      <c r="J8" s="16"/>
      <c r="K8" s="16"/>
      <c r="L8" s="16"/>
      <c r="M8" s="16"/>
      <c r="N8" s="16"/>
      <c r="O8" s="16"/>
    </row>
    <row r="9" spans="1:15" x14ac:dyDescent="0.75">
      <c r="B9" s="1" t="s">
        <v>94</v>
      </c>
      <c r="C9" s="3" t="b">
        <v>0</v>
      </c>
      <c r="D9" s="3" t="b">
        <v>0</v>
      </c>
      <c r="E9" s="3" t="b">
        <v>1</v>
      </c>
      <c r="F9" s="3" t="b">
        <v>0</v>
      </c>
      <c r="G9" s="7" t="s">
        <v>205</v>
      </c>
      <c r="H9">
        <v>3</v>
      </c>
      <c r="I9" s="16"/>
      <c r="J9" s="16"/>
      <c r="K9" s="16"/>
      <c r="L9" s="16"/>
      <c r="M9" s="16"/>
      <c r="N9" s="16"/>
      <c r="O9" s="16"/>
    </row>
    <row r="10" spans="1:15" x14ac:dyDescent="0.75">
      <c r="B10" s="1" t="s">
        <v>98</v>
      </c>
      <c r="C10" s="3" t="b">
        <v>0</v>
      </c>
      <c r="D10" s="3" t="b">
        <v>0</v>
      </c>
      <c r="E10" s="3" t="b">
        <v>1</v>
      </c>
      <c r="F10" s="3" t="b">
        <v>0</v>
      </c>
      <c r="G10" s="7" t="s">
        <v>205</v>
      </c>
      <c r="H10">
        <v>3</v>
      </c>
      <c r="I10" s="16"/>
      <c r="J10" s="16"/>
      <c r="K10" s="16"/>
      <c r="L10" s="16"/>
      <c r="M10" s="16"/>
      <c r="N10" s="16"/>
      <c r="O10" s="16"/>
    </row>
    <row r="11" spans="1:15" x14ac:dyDescent="0.75">
      <c r="B11" s="1" t="s">
        <v>100</v>
      </c>
      <c r="C11" s="3" t="b">
        <v>0</v>
      </c>
      <c r="D11" s="3" t="b">
        <v>1</v>
      </c>
      <c r="E11" s="3" t="b">
        <v>0</v>
      </c>
      <c r="F11" s="3" t="b">
        <v>0</v>
      </c>
      <c r="G11" s="7" t="s">
        <v>220</v>
      </c>
      <c r="H11">
        <v>3</v>
      </c>
      <c r="I11" s="16"/>
      <c r="J11" s="16"/>
      <c r="K11" s="16"/>
      <c r="L11" s="16"/>
      <c r="M11" s="16"/>
      <c r="N11" s="16"/>
      <c r="O11" s="16"/>
    </row>
    <row r="12" spans="1:15" x14ac:dyDescent="0.75">
      <c r="A12" t="s">
        <v>239</v>
      </c>
      <c r="B12" s="12" t="s">
        <v>103</v>
      </c>
      <c r="C12" s="3" t="b">
        <v>0</v>
      </c>
      <c r="D12" s="3" t="s">
        <v>234</v>
      </c>
      <c r="E12" s="3" t="b">
        <v>0</v>
      </c>
      <c r="F12" s="3" t="b">
        <v>0</v>
      </c>
      <c r="G12" s="7" t="s">
        <v>220</v>
      </c>
      <c r="H12">
        <v>3</v>
      </c>
      <c r="I12" s="16"/>
      <c r="J12" s="16"/>
      <c r="K12" s="16"/>
      <c r="L12" s="16"/>
      <c r="M12" s="16"/>
      <c r="N12" s="16"/>
      <c r="O12" s="16"/>
    </row>
    <row r="13" spans="1:15" ht="29.5" x14ac:dyDescent="0.75">
      <c r="B13" s="1" t="s">
        <v>104</v>
      </c>
      <c r="C13" s="3" t="b">
        <v>1</v>
      </c>
      <c r="D13" s="3" t="b">
        <v>0</v>
      </c>
      <c r="E13" s="3" t="b">
        <v>0</v>
      </c>
      <c r="F13" s="3" t="b">
        <v>0</v>
      </c>
      <c r="G13" s="7" t="s">
        <v>204</v>
      </c>
      <c r="H13">
        <v>3</v>
      </c>
      <c r="I13" s="16"/>
      <c r="J13" s="16"/>
      <c r="K13" s="16"/>
      <c r="L13" s="16"/>
      <c r="M13" s="16"/>
      <c r="N13" s="16"/>
      <c r="O13" s="16"/>
    </row>
    <row r="14" spans="1:15" x14ac:dyDescent="0.75">
      <c r="B14" s="1" t="s">
        <v>110</v>
      </c>
      <c r="C14" s="3" t="b">
        <v>1</v>
      </c>
      <c r="D14" s="3" t="b">
        <v>0</v>
      </c>
      <c r="E14" s="3" t="b">
        <v>0</v>
      </c>
      <c r="F14" s="3" t="b">
        <v>0</v>
      </c>
      <c r="G14" s="7" t="s">
        <v>204</v>
      </c>
      <c r="H14">
        <v>3</v>
      </c>
      <c r="I14" s="16"/>
      <c r="J14" s="16"/>
      <c r="K14" s="16"/>
      <c r="L14" s="16"/>
      <c r="M14" s="16"/>
      <c r="N14" s="16"/>
      <c r="O14" s="16"/>
    </row>
    <row r="15" spans="1:15" x14ac:dyDescent="0.75">
      <c r="B15" s="1" t="s">
        <v>114</v>
      </c>
      <c r="C15" s="3" t="b">
        <v>0</v>
      </c>
      <c r="D15" s="3" t="b">
        <v>0</v>
      </c>
      <c r="E15" s="3" t="b">
        <v>1</v>
      </c>
      <c r="F15" s="3" t="b">
        <v>0</v>
      </c>
      <c r="G15" s="7" t="s">
        <v>205</v>
      </c>
      <c r="H15">
        <v>3</v>
      </c>
      <c r="I15" s="16"/>
      <c r="J15" s="16"/>
      <c r="K15" s="16"/>
      <c r="L15" s="16"/>
      <c r="M15" s="16"/>
      <c r="N15" s="16"/>
      <c r="O15" s="16"/>
    </row>
    <row r="16" spans="1:15" ht="29.5" x14ac:dyDescent="0.75">
      <c r="B16" s="1" t="s">
        <v>115</v>
      </c>
      <c r="C16" s="3" t="b">
        <v>0</v>
      </c>
      <c r="D16" s="3" t="b">
        <v>0</v>
      </c>
      <c r="E16" s="3" t="b">
        <v>1</v>
      </c>
      <c r="F16" s="3" t="b">
        <v>0</v>
      </c>
      <c r="G16" s="7" t="s">
        <v>221</v>
      </c>
      <c r="H16">
        <v>3</v>
      </c>
      <c r="I16" s="16"/>
      <c r="J16" s="16"/>
      <c r="K16" s="16"/>
      <c r="L16" s="16"/>
      <c r="M16" s="16"/>
      <c r="N16" s="16"/>
      <c r="O16" s="16"/>
    </row>
    <row r="17" spans="1:15" ht="29.5" x14ac:dyDescent="0.75">
      <c r="B17" s="1" t="s">
        <v>117</v>
      </c>
      <c r="C17" s="3" t="b">
        <v>0</v>
      </c>
      <c r="D17" s="3" t="b">
        <v>0</v>
      </c>
      <c r="E17" s="3" t="b">
        <v>1</v>
      </c>
      <c r="F17" s="3" t="b">
        <v>0</v>
      </c>
      <c r="G17" s="7" t="s">
        <v>205</v>
      </c>
      <c r="H17">
        <v>3</v>
      </c>
      <c r="I17" s="16"/>
      <c r="J17" s="16"/>
      <c r="K17" s="16"/>
      <c r="L17" s="16"/>
      <c r="M17" s="16"/>
      <c r="N17" s="16"/>
      <c r="O17" s="16"/>
    </row>
    <row r="18" spans="1:15" x14ac:dyDescent="0.75">
      <c r="B18" s="1" t="s">
        <v>131</v>
      </c>
      <c r="C18" s="3" t="b">
        <v>0</v>
      </c>
      <c r="D18" s="3" t="b">
        <v>0</v>
      </c>
      <c r="E18" s="3" t="b">
        <v>1</v>
      </c>
      <c r="F18" s="3" t="b">
        <v>0</v>
      </c>
      <c r="G18" s="7" t="s">
        <v>205</v>
      </c>
      <c r="H18">
        <v>3</v>
      </c>
      <c r="I18" s="16"/>
      <c r="J18" s="16"/>
      <c r="K18" s="16"/>
      <c r="L18" s="16"/>
      <c r="M18" s="16"/>
      <c r="N18" s="16"/>
      <c r="O18" s="16"/>
    </row>
    <row r="19" spans="1:15" ht="44.25" x14ac:dyDescent="0.75">
      <c r="B19" s="1" t="s">
        <v>146</v>
      </c>
      <c r="C19" s="3" t="b">
        <v>0</v>
      </c>
      <c r="D19" s="3" t="b">
        <v>1</v>
      </c>
      <c r="E19" s="3" t="b">
        <v>0</v>
      </c>
      <c r="F19" s="3" t="b">
        <v>0</v>
      </c>
      <c r="G19" s="8" t="s">
        <v>220</v>
      </c>
      <c r="H19">
        <v>3</v>
      </c>
      <c r="I19" s="16"/>
      <c r="J19" s="16"/>
      <c r="K19" s="16"/>
      <c r="L19" s="16"/>
      <c r="M19" s="16"/>
      <c r="N19" s="16"/>
      <c r="O19" s="16"/>
    </row>
    <row r="20" spans="1:15" x14ac:dyDescent="0.75">
      <c r="A20" t="s">
        <v>239</v>
      </c>
      <c r="B20" s="12" t="s">
        <v>149</v>
      </c>
      <c r="C20" s="3" t="s">
        <v>233</v>
      </c>
      <c r="D20" s="3" t="b">
        <v>0</v>
      </c>
      <c r="E20" s="3" t="b">
        <v>0</v>
      </c>
      <c r="F20" s="3" t="b">
        <v>0</v>
      </c>
      <c r="G20" s="7" t="s">
        <v>204</v>
      </c>
      <c r="H20">
        <v>3</v>
      </c>
      <c r="I20" s="16"/>
      <c r="J20" s="16"/>
      <c r="K20" s="16"/>
      <c r="L20" s="16"/>
      <c r="M20" s="16"/>
      <c r="N20" s="16"/>
      <c r="O20" s="16"/>
    </row>
    <row r="21" spans="1:15" ht="29.5" x14ac:dyDescent="0.75">
      <c r="B21" s="1" t="s">
        <v>152</v>
      </c>
      <c r="C21" s="3" t="b">
        <v>0</v>
      </c>
      <c r="D21" s="3" t="b">
        <v>1</v>
      </c>
      <c r="E21" s="3" t="b">
        <v>0</v>
      </c>
      <c r="F21" s="3" t="b">
        <v>0</v>
      </c>
      <c r="G21" s="7" t="s">
        <v>220</v>
      </c>
      <c r="H21">
        <v>3</v>
      </c>
      <c r="I21" s="16"/>
      <c r="J21" s="16"/>
      <c r="K21" s="16"/>
      <c r="L21" s="16"/>
      <c r="M21" s="16"/>
      <c r="N21" s="16"/>
      <c r="O21" s="16"/>
    </row>
    <row r="22" spans="1:15" ht="44.25" x14ac:dyDescent="0.75">
      <c r="B22" s="1" t="s">
        <v>154</v>
      </c>
      <c r="C22" s="3" t="b">
        <v>0</v>
      </c>
      <c r="D22" s="3" t="b">
        <v>0</v>
      </c>
      <c r="E22" s="3" t="b">
        <v>1</v>
      </c>
      <c r="F22" s="3" t="b">
        <v>0</v>
      </c>
      <c r="G22" s="7" t="s">
        <v>205</v>
      </c>
      <c r="H22">
        <v>3</v>
      </c>
      <c r="I22" s="16"/>
      <c r="J22" s="16"/>
      <c r="K22" s="16"/>
      <c r="L22" s="16"/>
      <c r="M22" s="16"/>
      <c r="N22" s="16"/>
      <c r="O22" s="16"/>
    </row>
    <row r="23" spans="1:15" x14ac:dyDescent="0.75">
      <c r="B23" s="1" t="s">
        <v>155</v>
      </c>
      <c r="C23" s="3" t="b">
        <v>0</v>
      </c>
      <c r="D23" s="3" t="b">
        <v>0</v>
      </c>
      <c r="E23" s="3" t="b">
        <v>0</v>
      </c>
      <c r="F23" s="3" t="b">
        <v>1</v>
      </c>
      <c r="G23" s="7" t="s">
        <v>222</v>
      </c>
      <c r="H23">
        <v>3</v>
      </c>
      <c r="I23" s="16"/>
      <c r="J23" s="16"/>
      <c r="K23" s="16"/>
      <c r="L23" s="16"/>
      <c r="M23" s="16"/>
      <c r="N23" s="16"/>
      <c r="O23" s="16"/>
    </row>
    <row r="24" spans="1:15" x14ac:dyDescent="0.75">
      <c r="B24" s="1" t="s">
        <v>161</v>
      </c>
      <c r="C24" s="3" t="b">
        <v>1</v>
      </c>
      <c r="D24" s="3" t="b">
        <v>0</v>
      </c>
      <c r="E24" s="3" t="b">
        <v>0</v>
      </c>
      <c r="F24" s="3" t="b">
        <v>0</v>
      </c>
      <c r="G24" s="7" t="s">
        <v>204</v>
      </c>
      <c r="H24">
        <v>3</v>
      </c>
      <c r="I24" s="16"/>
      <c r="J24" s="16"/>
      <c r="K24" s="16"/>
      <c r="L24" s="16"/>
      <c r="M24" s="16"/>
      <c r="N24" s="16"/>
      <c r="O24" s="16"/>
    </row>
    <row r="25" spans="1:15" ht="44.25" x14ac:dyDescent="0.75">
      <c r="B25" s="1" t="s">
        <v>168</v>
      </c>
      <c r="C25" s="3" t="b">
        <v>0</v>
      </c>
      <c r="D25" s="3" t="b">
        <v>1</v>
      </c>
      <c r="E25" s="3" t="b">
        <v>0</v>
      </c>
      <c r="F25" s="3" t="b">
        <v>0</v>
      </c>
      <c r="G25" s="7" t="s">
        <v>220</v>
      </c>
      <c r="H25">
        <v>3</v>
      </c>
      <c r="I25" s="16"/>
      <c r="J25" s="16"/>
      <c r="K25" s="16"/>
      <c r="L25" s="16"/>
      <c r="M25" s="16"/>
      <c r="N25" s="16"/>
      <c r="O25" s="16"/>
    </row>
    <row r="26" spans="1:15" x14ac:dyDescent="0.75">
      <c r="B26" s="1" t="s">
        <v>180</v>
      </c>
      <c r="C26" s="3" t="b">
        <v>1</v>
      </c>
      <c r="D26" s="3" t="b">
        <v>0</v>
      </c>
      <c r="E26" s="3" t="b">
        <v>0</v>
      </c>
      <c r="F26" s="3" t="b">
        <v>0</v>
      </c>
      <c r="G26" s="7" t="s">
        <v>204</v>
      </c>
      <c r="H26">
        <v>3</v>
      </c>
      <c r="I26" s="16"/>
      <c r="J26" s="16"/>
      <c r="K26" s="16"/>
      <c r="L26" s="16"/>
      <c r="M26" s="16"/>
      <c r="N26" s="16"/>
      <c r="O26" s="16"/>
    </row>
    <row r="27" spans="1:15" x14ac:dyDescent="0.75">
      <c r="A27" t="s">
        <v>239</v>
      </c>
      <c r="B27" s="12" t="s">
        <v>181</v>
      </c>
      <c r="C27" s="3" t="b">
        <v>0</v>
      </c>
      <c r="D27" s="3" t="b">
        <v>0</v>
      </c>
      <c r="E27" s="3" t="s">
        <v>235</v>
      </c>
      <c r="F27" s="3" t="b">
        <v>0</v>
      </c>
      <c r="G27" s="7" t="s">
        <v>205</v>
      </c>
      <c r="H27">
        <v>3</v>
      </c>
    </row>
    <row r="28" spans="1:15" ht="29.5" x14ac:dyDescent="0.75">
      <c r="B28" s="1" t="s">
        <v>182</v>
      </c>
      <c r="C28" s="3" t="b">
        <v>1</v>
      </c>
      <c r="D28" s="3" t="b">
        <v>0</v>
      </c>
      <c r="E28" s="3" t="b">
        <v>0</v>
      </c>
      <c r="F28" s="3" t="b">
        <v>1</v>
      </c>
      <c r="G28" s="7" t="s">
        <v>204</v>
      </c>
      <c r="H28">
        <v>3</v>
      </c>
      <c r="I28" s="6" t="s">
        <v>197</v>
      </c>
      <c r="J28" t="s">
        <v>198</v>
      </c>
    </row>
    <row r="29" spans="1:15" ht="29.5" x14ac:dyDescent="0.75">
      <c r="B29" s="1" t="s">
        <v>194</v>
      </c>
      <c r="C29" s="3" t="b">
        <v>0</v>
      </c>
      <c r="D29" s="3" t="b">
        <v>0</v>
      </c>
      <c r="E29" s="3" t="b">
        <v>1</v>
      </c>
      <c r="F29" s="3" t="b">
        <v>0</v>
      </c>
      <c r="G29" s="7" t="s">
        <v>205</v>
      </c>
      <c r="H29">
        <v>3</v>
      </c>
    </row>
    <row r="30" spans="1:15" x14ac:dyDescent="0.75">
      <c r="C30" s="3" t="b">
        <v>0</v>
      </c>
      <c r="D30" s="3" t="b">
        <v>0</v>
      </c>
      <c r="E30" s="3" t="b">
        <v>0</v>
      </c>
      <c r="F30" s="3" t="b">
        <v>0</v>
      </c>
      <c r="G30" s="7"/>
      <c r="H30">
        <v>3</v>
      </c>
      <c r="I30" s="6"/>
    </row>
    <row r="31" spans="1:15" x14ac:dyDescent="0.75">
      <c r="C31" s="3" t="b">
        <v>0</v>
      </c>
      <c r="D31" s="3" t="b">
        <v>0</v>
      </c>
      <c r="E31" s="3" t="b">
        <v>0</v>
      </c>
      <c r="F31" s="3" t="b">
        <v>0</v>
      </c>
      <c r="G31" s="7"/>
      <c r="H31">
        <v>3</v>
      </c>
    </row>
    <row r="32" spans="1:15" x14ac:dyDescent="0.75">
      <c r="G32" s="7"/>
      <c r="H32">
        <v>3</v>
      </c>
      <c r="I32" s="6"/>
    </row>
    <row r="33" spans="3:10" x14ac:dyDescent="0.75">
      <c r="C33">
        <f>COUNTIF(C2:C30, TRUE)</f>
        <v>7</v>
      </c>
      <c r="D33">
        <f t="shared" ref="D33:F33" si="0">COUNTIF(D2:D30, TRUE)</f>
        <v>5</v>
      </c>
      <c r="E33">
        <f t="shared" si="0"/>
        <v>9</v>
      </c>
      <c r="F33">
        <f t="shared" si="0"/>
        <v>3</v>
      </c>
      <c r="G33" s="7">
        <f>SUM(C33:F33)</f>
        <v>24</v>
      </c>
      <c r="I33" s="6"/>
    </row>
    <row r="34" spans="3:10" x14ac:dyDescent="0.75">
      <c r="G34" s="7"/>
    </row>
    <row r="35" spans="3:10" x14ac:dyDescent="0.75">
      <c r="I35" s="6"/>
      <c r="J35" s="6"/>
    </row>
  </sheetData>
  <mergeCells count="1">
    <mergeCell ref="I3:O26"/>
  </mergeCells>
  <conditionalFormatting sqref="H3:H32">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19674-5AFC-4EFB-9B01-0A02A2EF0272}">
  <dimension ref="A1:P33"/>
  <sheetViews>
    <sheetView zoomScale="80" zoomScaleNormal="80" workbookViewId="0">
      <selection activeCell="J29" sqref="J29:N37"/>
    </sheetView>
  </sheetViews>
  <sheetFormatPr defaultRowHeight="14.75" x14ac:dyDescent="0.75"/>
  <cols>
    <col min="2" max="2" width="73.58984375" customWidth="1"/>
    <col min="7" max="7" width="70.7265625" customWidth="1"/>
  </cols>
  <sheetData>
    <row r="1" spans="1:16" x14ac:dyDescent="0.75">
      <c r="A1" s="10"/>
      <c r="B1" s="10" t="s">
        <v>4</v>
      </c>
      <c r="C1" s="10"/>
      <c r="D1" s="10"/>
      <c r="E1" s="10"/>
      <c r="F1" s="10"/>
      <c r="G1" s="11" t="s">
        <v>199</v>
      </c>
      <c r="H1" s="10" t="s">
        <v>200</v>
      </c>
    </row>
    <row r="2" spans="1:16" x14ac:dyDescent="0.75">
      <c r="A2" s="10" t="s">
        <v>238</v>
      </c>
      <c r="B2" s="10" t="s">
        <v>184</v>
      </c>
      <c r="C2" s="10" t="s">
        <v>237</v>
      </c>
      <c r="D2" s="10" t="s">
        <v>201</v>
      </c>
      <c r="E2" s="10" t="s">
        <v>202</v>
      </c>
      <c r="F2" s="10" t="s">
        <v>203</v>
      </c>
      <c r="G2" s="11"/>
      <c r="H2" s="10"/>
    </row>
    <row r="3" spans="1:16" ht="45" customHeight="1" x14ac:dyDescent="0.75">
      <c r="B3" s="13" t="s">
        <v>34</v>
      </c>
      <c r="C3" s="14" t="b">
        <v>0</v>
      </c>
      <c r="D3" s="14" t="b">
        <v>1</v>
      </c>
      <c r="E3" s="14" t="b">
        <v>0</v>
      </c>
      <c r="F3" s="14" t="b">
        <v>0</v>
      </c>
      <c r="G3" s="15" t="s">
        <v>236</v>
      </c>
      <c r="H3">
        <v>2</v>
      </c>
      <c r="J3" s="16" t="s">
        <v>12</v>
      </c>
      <c r="K3" s="16"/>
      <c r="L3" s="16"/>
      <c r="M3" s="16"/>
      <c r="N3" s="16"/>
      <c r="O3" s="16"/>
      <c r="P3" s="16"/>
    </row>
    <row r="4" spans="1:16" ht="29.5" x14ac:dyDescent="0.75">
      <c r="B4" s="1" t="s">
        <v>39</v>
      </c>
      <c r="C4" s="3" t="b">
        <v>0</v>
      </c>
      <c r="D4" s="3" t="b">
        <v>1</v>
      </c>
      <c r="E4" s="3" t="b">
        <v>0</v>
      </c>
      <c r="F4" s="3" t="b">
        <v>0</v>
      </c>
      <c r="G4" s="7" t="s">
        <v>225</v>
      </c>
      <c r="H4">
        <v>3</v>
      </c>
      <c r="J4" s="16"/>
      <c r="K4" s="16"/>
      <c r="L4" s="16"/>
      <c r="M4" s="16"/>
      <c r="N4" s="16"/>
      <c r="O4" s="16"/>
      <c r="P4" s="16"/>
    </row>
    <row r="5" spans="1:16" x14ac:dyDescent="0.75">
      <c r="B5" s="1" t="s">
        <v>49</v>
      </c>
      <c r="C5" s="3" t="b">
        <v>1</v>
      </c>
      <c r="D5" s="3" t="b">
        <v>0</v>
      </c>
      <c r="E5" s="3" t="b">
        <v>0</v>
      </c>
      <c r="F5" s="3" t="b">
        <v>0</v>
      </c>
      <c r="G5" s="7" t="s">
        <v>204</v>
      </c>
      <c r="H5">
        <v>3</v>
      </c>
      <c r="J5" s="16"/>
      <c r="K5" s="16"/>
      <c r="L5" s="16"/>
      <c r="M5" s="16"/>
      <c r="N5" s="16"/>
      <c r="O5" s="16"/>
      <c r="P5" s="16"/>
    </row>
    <row r="6" spans="1:16" x14ac:dyDescent="0.75">
      <c r="B6" s="1" t="s">
        <v>53</v>
      </c>
      <c r="C6" s="3" t="b">
        <v>1</v>
      </c>
      <c r="D6" s="3" t="b">
        <v>0</v>
      </c>
      <c r="E6" s="3" t="b">
        <v>0</v>
      </c>
      <c r="F6" s="3" t="b">
        <v>0</v>
      </c>
      <c r="G6" s="7" t="s">
        <v>204</v>
      </c>
      <c r="H6">
        <v>3</v>
      </c>
      <c r="J6" s="16"/>
      <c r="K6" s="16"/>
      <c r="L6" s="16"/>
      <c r="M6" s="16"/>
      <c r="N6" s="16"/>
      <c r="O6" s="16"/>
      <c r="P6" s="16"/>
    </row>
    <row r="7" spans="1:16" x14ac:dyDescent="0.75">
      <c r="B7" s="1" t="s">
        <v>54</v>
      </c>
      <c r="C7" s="3" t="b">
        <v>0</v>
      </c>
      <c r="D7" s="3" t="b">
        <v>1</v>
      </c>
      <c r="E7" s="3" t="b">
        <v>0</v>
      </c>
      <c r="F7" s="3" t="b">
        <v>0</v>
      </c>
      <c r="G7" s="7" t="s">
        <v>225</v>
      </c>
      <c r="H7">
        <v>2</v>
      </c>
      <c r="J7" s="16"/>
      <c r="K7" s="16"/>
      <c r="L7" s="16"/>
      <c r="M7" s="16"/>
      <c r="N7" s="16"/>
      <c r="O7" s="16"/>
      <c r="P7" s="16"/>
    </row>
    <row r="8" spans="1:16" x14ac:dyDescent="0.75">
      <c r="B8" s="1" t="s">
        <v>60</v>
      </c>
      <c r="C8" s="3" t="b">
        <v>1</v>
      </c>
      <c r="D8" s="3" t="b">
        <v>0</v>
      </c>
      <c r="E8" s="3" t="b">
        <v>0</v>
      </c>
      <c r="F8" s="3" t="b">
        <v>0</v>
      </c>
      <c r="G8" s="7" t="s">
        <v>204</v>
      </c>
      <c r="H8">
        <v>3</v>
      </c>
      <c r="J8" s="16"/>
      <c r="K8" s="16"/>
      <c r="L8" s="16"/>
      <c r="M8" s="16"/>
      <c r="N8" s="16"/>
      <c r="O8" s="16"/>
      <c r="P8" s="16"/>
    </row>
    <row r="9" spans="1:16" x14ac:dyDescent="0.75">
      <c r="B9" s="1" t="s">
        <v>80</v>
      </c>
      <c r="C9" s="3" t="b">
        <v>0</v>
      </c>
      <c r="D9" s="3" t="b">
        <v>1</v>
      </c>
      <c r="E9" s="3" t="b">
        <v>0</v>
      </c>
      <c r="F9" s="3" t="b">
        <v>0</v>
      </c>
      <c r="G9" s="7" t="s">
        <v>225</v>
      </c>
      <c r="H9">
        <v>2</v>
      </c>
      <c r="J9" s="16"/>
      <c r="K9" s="16"/>
      <c r="L9" s="16"/>
      <c r="M9" s="16"/>
      <c r="N9" s="16"/>
      <c r="O9" s="16"/>
      <c r="P9" s="16"/>
    </row>
    <row r="10" spans="1:16" x14ac:dyDescent="0.75">
      <c r="B10" s="1" t="s">
        <v>82</v>
      </c>
      <c r="C10" s="3" t="b">
        <v>1</v>
      </c>
      <c r="D10" s="3" t="b">
        <v>0</v>
      </c>
      <c r="E10" s="3" t="b">
        <v>0</v>
      </c>
      <c r="F10" s="3" t="b">
        <v>0</v>
      </c>
      <c r="G10" s="7" t="s">
        <v>204</v>
      </c>
      <c r="H10">
        <v>3</v>
      </c>
      <c r="J10" s="16"/>
      <c r="K10" s="16"/>
      <c r="L10" s="16"/>
      <c r="M10" s="16"/>
      <c r="N10" s="16"/>
      <c r="O10" s="16"/>
      <c r="P10" s="16"/>
    </row>
    <row r="11" spans="1:16" x14ac:dyDescent="0.75">
      <c r="B11" s="1" t="s">
        <v>85</v>
      </c>
      <c r="C11" s="3" t="b">
        <v>0</v>
      </c>
      <c r="D11" s="3" t="b">
        <v>1</v>
      </c>
      <c r="E11" s="3" t="b">
        <v>0</v>
      </c>
      <c r="F11" s="3" t="b">
        <v>0</v>
      </c>
      <c r="G11" s="7" t="s">
        <v>225</v>
      </c>
      <c r="H11">
        <v>2</v>
      </c>
      <c r="J11" s="16"/>
      <c r="K11" s="16"/>
      <c r="L11" s="16"/>
      <c r="M11" s="16"/>
      <c r="N11" s="16"/>
      <c r="O11" s="16"/>
      <c r="P11" s="16"/>
    </row>
    <row r="12" spans="1:16" x14ac:dyDescent="0.75">
      <c r="B12" s="1" t="s">
        <v>90</v>
      </c>
      <c r="C12" s="3" t="b">
        <v>0</v>
      </c>
      <c r="D12" s="3" t="b">
        <v>1</v>
      </c>
      <c r="E12" s="3" t="b">
        <v>0</v>
      </c>
      <c r="F12" s="3" t="b">
        <v>0</v>
      </c>
      <c r="G12" s="7" t="s">
        <v>225</v>
      </c>
      <c r="H12">
        <v>2</v>
      </c>
      <c r="J12" s="16"/>
      <c r="K12" s="16"/>
      <c r="L12" s="16"/>
      <c r="M12" s="16"/>
      <c r="N12" s="16"/>
      <c r="O12" s="16"/>
      <c r="P12" s="16"/>
    </row>
    <row r="13" spans="1:16" x14ac:dyDescent="0.75">
      <c r="A13" t="s">
        <v>239</v>
      </c>
      <c r="B13" s="12" t="s">
        <v>60</v>
      </c>
      <c r="C13" s="3" t="s">
        <v>233</v>
      </c>
      <c r="D13" s="3" t="b">
        <v>0</v>
      </c>
      <c r="E13" s="3" t="b">
        <v>0</v>
      </c>
      <c r="F13" s="3" t="b">
        <v>0</v>
      </c>
      <c r="G13" s="7" t="s">
        <v>204</v>
      </c>
      <c r="H13">
        <v>3</v>
      </c>
      <c r="J13" s="16"/>
      <c r="K13" s="16"/>
      <c r="L13" s="16"/>
      <c r="M13" s="16"/>
      <c r="N13" s="16"/>
      <c r="O13" s="16"/>
      <c r="P13" s="16"/>
    </row>
    <row r="14" spans="1:16" x14ac:dyDescent="0.75">
      <c r="B14" s="1" t="s">
        <v>95</v>
      </c>
      <c r="C14" s="3" t="b">
        <v>0</v>
      </c>
      <c r="D14" s="3" t="b">
        <v>0</v>
      </c>
      <c r="E14" s="3" t="b">
        <v>1</v>
      </c>
      <c r="F14" s="3" t="b">
        <v>0</v>
      </c>
      <c r="G14" s="7" t="s">
        <v>226</v>
      </c>
      <c r="H14">
        <v>3</v>
      </c>
      <c r="J14" s="16"/>
      <c r="K14" s="16"/>
      <c r="L14" s="16"/>
      <c r="M14" s="16"/>
      <c r="N14" s="16"/>
      <c r="O14" s="16"/>
      <c r="P14" s="16"/>
    </row>
    <row r="15" spans="1:16" x14ac:dyDescent="0.75">
      <c r="B15" s="1" t="s">
        <v>108</v>
      </c>
      <c r="C15" s="3" t="b">
        <v>0</v>
      </c>
      <c r="D15" s="3" t="b">
        <v>1</v>
      </c>
      <c r="E15" s="3" t="b">
        <v>0</v>
      </c>
      <c r="F15" s="3" t="b">
        <v>0</v>
      </c>
      <c r="G15" s="7" t="s">
        <v>225</v>
      </c>
      <c r="H15">
        <v>2</v>
      </c>
      <c r="J15" s="16"/>
      <c r="K15" s="16"/>
      <c r="L15" s="16"/>
      <c r="M15" s="16"/>
      <c r="N15" s="16"/>
      <c r="O15" s="16"/>
      <c r="P15" s="16"/>
    </row>
    <row r="16" spans="1:16" x14ac:dyDescent="0.75">
      <c r="B16" s="1" t="s">
        <v>113</v>
      </c>
      <c r="C16" s="3" t="b">
        <v>0</v>
      </c>
      <c r="D16" s="3" t="b">
        <v>1</v>
      </c>
      <c r="E16" s="3" t="b">
        <v>0</v>
      </c>
      <c r="F16" s="3" t="b">
        <v>0</v>
      </c>
      <c r="G16" s="7" t="s">
        <v>225</v>
      </c>
      <c r="H16">
        <v>2</v>
      </c>
      <c r="J16" s="16"/>
      <c r="K16" s="16"/>
      <c r="L16" s="16"/>
      <c r="M16" s="16"/>
      <c r="N16" s="16"/>
      <c r="O16" s="16"/>
      <c r="P16" s="16"/>
    </row>
    <row r="17" spans="2:16" x14ac:dyDescent="0.75">
      <c r="B17" s="1" t="s">
        <v>128</v>
      </c>
      <c r="C17" s="3" t="b">
        <v>0</v>
      </c>
      <c r="D17" s="3" t="b">
        <v>1</v>
      </c>
      <c r="E17" s="3" t="b">
        <v>0</v>
      </c>
      <c r="F17" s="3" t="b">
        <v>0</v>
      </c>
      <c r="G17" s="7" t="s">
        <v>225</v>
      </c>
      <c r="H17">
        <v>2</v>
      </c>
      <c r="J17" s="16"/>
      <c r="K17" s="16"/>
      <c r="L17" s="16"/>
      <c r="M17" s="16"/>
      <c r="N17" s="16"/>
      <c r="O17" s="16"/>
      <c r="P17" s="16"/>
    </row>
    <row r="18" spans="2:16" ht="29.5" x14ac:dyDescent="0.75">
      <c r="B18" s="1" t="s">
        <v>137</v>
      </c>
      <c r="C18" s="3" t="b">
        <v>0</v>
      </c>
      <c r="D18" s="3" t="b">
        <v>0</v>
      </c>
      <c r="E18" s="3" t="b">
        <v>1</v>
      </c>
      <c r="F18" s="3" t="b">
        <v>0</v>
      </c>
      <c r="G18" s="7" t="s">
        <v>227</v>
      </c>
      <c r="H18">
        <v>3</v>
      </c>
      <c r="J18" s="16"/>
      <c r="K18" s="16"/>
      <c r="L18" s="16"/>
      <c r="M18" s="16"/>
      <c r="N18" s="16"/>
      <c r="O18" s="16"/>
      <c r="P18" s="16"/>
    </row>
    <row r="19" spans="2:16" x14ac:dyDescent="0.75">
      <c r="B19" s="1" t="s">
        <v>140</v>
      </c>
      <c r="C19" s="3" t="b">
        <v>1</v>
      </c>
      <c r="D19" s="3" t="b">
        <v>0</v>
      </c>
      <c r="E19" s="3" t="b">
        <v>0</v>
      </c>
      <c r="F19" s="3" t="b">
        <v>0</v>
      </c>
      <c r="G19" s="8" t="s">
        <v>204</v>
      </c>
      <c r="H19">
        <v>3</v>
      </c>
      <c r="J19" s="16"/>
      <c r="K19" s="16"/>
      <c r="L19" s="16"/>
      <c r="M19" s="16"/>
      <c r="N19" s="16"/>
      <c r="O19" s="16"/>
      <c r="P19" s="16"/>
    </row>
    <row r="20" spans="2:16" x14ac:dyDescent="0.75">
      <c r="B20" s="1" t="s">
        <v>141</v>
      </c>
      <c r="C20" s="3" t="b">
        <v>0</v>
      </c>
      <c r="D20" s="3" t="b">
        <v>1</v>
      </c>
      <c r="E20" s="3" t="b">
        <v>0</v>
      </c>
      <c r="F20" s="3" t="b">
        <v>0</v>
      </c>
      <c r="G20" s="7" t="s">
        <v>225</v>
      </c>
      <c r="H20">
        <v>2</v>
      </c>
      <c r="J20" s="16"/>
      <c r="K20" s="16"/>
      <c r="L20" s="16"/>
      <c r="M20" s="16"/>
      <c r="N20" s="16"/>
      <c r="O20" s="16"/>
      <c r="P20" s="16"/>
    </row>
    <row r="21" spans="2:16" ht="29.5" x14ac:dyDescent="0.75">
      <c r="B21" s="1" t="s">
        <v>142</v>
      </c>
      <c r="C21" s="3" t="b">
        <v>0</v>
      </c>
      <c r="D21" s="3" t="b">
        <v>1</v>
      </c>
      <c r="E21" s="3" t="b">
        <v>0</v>
      </c>
      <c r="F21" s="3" t="b">
        <v>0</v>
      </c>
      <c r="G21" s="7" t="s">
        <v>225</v>
      </c>
      <c r="H21">
        <v>3</v>
      </c>
      <c r="J21" s="16"/>
      <c r="K21" s="16"/>
      <c r="L21" s="16"/>
      <c r="M21" s="16"/>
      <c r="N21" s="16"/>
      <c r="O21" s="16"/>
      <c r="P21" s="16"/>
    </row>
    <row r="22" spans="2:16" x14ac:dyDescent="0.75">
      <c r="B22" s="1" t="s">
        <v>150</v>
      </c>
      <c r="C22" s="3" t="b">
        <v>1</v>
      </c>
      <c r="D22" s="3" t="b">
        <v>0</v>
      </c>
      <c r="E22" s="3" t="b">
        <v>0</v>
      </c>
      <c r="F22" s="3" t="b">
        <v>0</v>
      </c>
      <c r="G22" s="7" t="s">
        <v>204</v>
      </c>
      <c r="H22">
        <v>2</v>
      </c>
      <c r="J22" s="16"/>
      <c r="K22" s="16"/>
      <c r="L22" s="16"/>
      <c r="M22" s="16"/>
      <c r="N22" s="16"/>
      <c r="O22" s="16"/>
      <c r="P22" s="16"/>
    </row>
    <row r="23" spans="2:16" ht="29.5" x14ac:dyDescent="0.75">
      <c r="B23" s="1" t="s">
        <v>159</v>
      </c>
      <c r="C23" s="3" t="b">
        <v>0</v>
      </c>
      <c r="D23" s="3" t="b">
        <v>1</v>
      </c>
      <c r="E23" s="3" t="b">
        <v>0</v>
      </c>
      <c r="F23" s="3" t="b">
        <v>0</v>
      </c>
      <c r="G23" s="7" t="s">
        <v>225</v>
      </c>
      <c r="H23">
        <v>3</v>
      </c>
      <c r="J23" s="16"/>
      <c r="K23" s="16"/>
      <c r="L23" s="16"/>
      <c r="M23" s="16"/>
      <c r="N23" s="16"/>
      <c r="O23" s="16"/>
      <c r="P23" s="16"/>
    </row>
    <row r="24" spans="2:16" ht="29.5" x14ac:dyDescent="0.75">
      <c r="B24" s="1" t="s">
        <v>160</v>
      </c>
      <c r="C24" s="3" t="b">
        <v>0</v>
      </c>
      <c r="D24" s="3" t="b">
        <v>0</v>
      </c>
      <c r="E24" s="3" t="b">
        <v>1</v>
      </c>
      <c r="F24" s="3" t="b">
        <v>0</v>
      </c>
      <c r="G24" s="7" t="s">
        <v>228</v>
      </c>
      <c r="H24">
        <v>2</v>
      </c>
      <c r="J24" s="16"/>
      <c r="K24" s="16"/>
      <c r="L24" s="16"/>
      <c r="M24" s="16"/>
      <c r="N24" s="16"/>
      <c r="O24" s="16"/>
      <c r="P24" s="16"/>
    </row>
    <row r="25" spans="2:16" x14ac:dyDescent="0.75">
      <c r="B25" s="1" t="s">
        <v>166</v>
      </c>
      <c r="C25" s="3" t="b">
        <v>0</v>
      </c>
      <c r="D25" s="3" t="b">
        <v>1</v>
      </c>
      <c r="E25" s="3" t="b">
        <v>0</v>
      </c>
      <c r="F25" s="3" t="b">
        <v>0</v>
      </c>
      <c r="G25" s="7" t="s">
        <v>225</v>
      </c>
      <c r="H25">
        <v>2</v>
      </c>
      <c r="J25" s="16"/>
      <c r="K25" s="16"/>
      <c r="L25" s="16"/>
      <c r="M25" s="16"/>
      <c r="N25" s="16"/>
      <c r="O25" s="16"/>
      <c r="P25" s="16"/>
    </row>
    <row r="26" spans="2:16" ht="44.25" x14ac:dyDescent="0.75">
      <c r="B26" s="1" t="s">
        <v>167</v>
      </c>
      <c r="C26" s="3" t="b">
        <v>0</v>
      </c>
      <c r="D26" s="3" t="b">
        <v>1</v>
      </c>
      <c r="E26" s="3" t="b">
        <v>0</v>
      </c>
      <c r="F26" s="3" t="b">
        <v>0</v>
      </c>
      <c r="G26" s="7" t="s">
        <v>225</v>
      </c>
      <c r="H26">
        <v>2</v>
      </c>
      <c r="J26" s="16"/>
      <c r="K26" s="16"/>
      <c r="L26" s="16"/>
      <c r="M26" s="16"/>
      <c r="N26" s="16"/>
      <c r="O26" s="16"/>
      <c r="P26" s="16"/>
    </row>
    <row r="27" spans="2:16" x14ac:dyDescent="0.75">
      <c r="B27" s="1" t="s">
        <v>170</v>
      </c>
      <c r="C27" s="3" t="b">
        <v>1</v>
      </c>
      <c r="D27" s="3" t="b">
        <v>0</v>
      </c>
      <c r="E27" s="3" t="b">
        <v>0</v>
      </c>
      <c r="F27" s="3" t="b">
        <v>0</v>
      </c>
      <c r="G27" s="7" t="s">
        <v>204</v>
      </c>
      <c r="H27">
        <v>3</v>
      </c>
    </row>
    <row r="28" spans="2:16" x14ac:dyDescent="0.75">
      <c r="G28" s="7"/>
      <c r="J28" t="s">
        <v>223</v>
      </c>
      <c r="K28" t="s">
        <v>224</v>
      </c>
    </row>
    <row r="29" spans="2:16" x14ac:dyDescent="0.75">
      <c r="G29" s="7"/>
    </row>
    <row r="30" spans="2:16" x14ac:dyDescent="0.75">
      <c r="G30" s="7"/>
      <c r="L30" s="6"/>
    </row>
    <row r="31" spans="2:16" x14ac:dyDescent="0.75">
      <c r="G31" s="7"/>
    </row>
    <row r="32" spans="2:16" x14ac:dyDescent="0.75">
      <c r="G32" s="7"/>
    </row>
    <row r="33" spans="3:7" x14ac:dyDescent="0.75">
      <c r="C33">
        <f>COUNTIF(C2:C30, TRUE)</f>
        <v>7</v>
      </c>
      <c r="D33">
        <f t="shared" ref="D33:F33" si="0">COUNTIF(D2:D30, TRUE)</f>
        <v>14</v>
      </c>
      <c r="E33">
        <f t="shared" si="0"/>
        <v>3</v>
      </c>
      <c r="F33">
        <f t="shared" si="0"/>
        <v>0</v>
      </c>
      <c r="G33" s="7">
        <f>SUM(C33:F33)</f>
        <v>24</v>
      </c>
    </row>
  </sheetData>
  <mergeCells count="1">
    <mergeCell ref="J3:P26"/>
  </mergeCells>
  <phoneticPr fontId="3" type="noConversion"/>
  <conditionalFormatting sqref="H3:H27">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3C49-E16C-4694-BCD8-3F5D7D089986}">
  <dimension ref="A1:P34"/>
  <sheetViews>
    <sheetView topLeftCell="A16" zoomScale="74" workbookViewId="0">
      <selection activeCell="J30" sqref="J30:O38"/>
    </sheetView>
  </sheetViews>
  <sheetFormatPr defaultRowHeight="14.75" x14ac:dyDescent="0.75"/>
  <cols>
    <col min="2" max="2" width="81.54296875" customWidth="1"/>
    <col min="7" max="7" width="27.76953125" customWidth="1"/>
  </cols>
  <sheetData>
    <row r="1" spans="1:16" x14ac:dyDescent="0.75">
      <c r="A1" s="10"/>
      <c r="B1" s="10" t="s">
        <v>5</v>
      </c>
      <c r="C1" s="10"/>
      <c r="D1" s="10"/>
      <c r="E1" s="10"/>
      <c r="F1" s="10"/>
      <c r="G1" s="11" t="s">
        <v>199</v>
      </c>
      <c r="H1" s="10" t="s">
        <v>200</v>
      </c>
    </row>
    <row r="2" spans="1:16" x14ac:dyDescent="0.75">
      <c r="A2" s="10" t="s">
        <v>238</v>
      </c>
      <c r="B2" s="10" t="s">
        <v>185</v>
      </c>
      <c r="C2" s="10" t="s">
        <v>237</v>
      </c>
      <c r="D2" s="10" t="s">
        <v>201</v>
      </c>
      <c r="E2" s="10" t="s">
        <v>202</v>
      </c>
      <c r="F2" s="10" t="s">
        <v>203</v>
      </c>
      <c r="G2" s="11"/>
      <c r="H2" s="10"/>
    </row>
    <row r="3" spans="1:16" x14ac:dyDescent="0.75">
      <c r="B3" s="1" t="s">
        <v>20</v>
      </c>
      <c r="C3" s="3" t="b">
        <v>1</v>
      </c>
      <c r="D3" s="3" t="b">
        <v>0</v>
      </c>
      <c r="E3" s="3" t="b">
        <v>0</v>
      </c>
      <c r="F3" s="3" t="b">
        <v>0</v>
      </c>
      <c r="G3" s="7" t="s">
        <v>204</v>
      </c>
      <c r="H3">
        <v>3</v>
      </c>
      <c r="J3" s="16" t="s">
        <v>13</v>
      </c>
      <c r="K3" s="16"/>
      <c r="L3" s="16"/>
      <c r="M3" s="16"/>
      <c r="N3" s="16"/>
      <c r="O3" s="16"/>
      <c r="P3" s="16"/>
    </row>
    <row r="4" spans="1:16" x14ac:dyDescent="0.75">
      <c r="A4" t="s">
        <v>239</v>
      </c>
      <c r="B4" s="4" t="s">
        <v>52</v>
      </c>
      <c r="C4" s="3" t="b">
        <v>0</v>
      </c>
      <c r="D4" s="3" t="b">
        <v>0</v>
      </c>
      <c r="E4" s="3" t="b">
        <v>0</v>
      </c>
      <c r="F4" s="3" t="b">
        <v>0</v>
      </c>
      <c r="G4" s="7"/>
      <c r="H4">
        <v>3</v>
      </c>
      <c r="J4" s="16"/>
      <c r="K4" s="16"/>
      <c r="L4" s="16"/>
      <c r="M4" s="16"/>
      <c r="N4" s="16"/>
      <c r="O4" s="16"/>
      <c r="P4" s="16"/>
    </row>
    <row r="5" spans="1:16" x14ac:dyDescent="0.75">
      <c r="B5" s="1" t="s">
        <v>66</v>
      </c>
      <c r="C5" s="3" t="b">
        <v>1</v>
      </c>
      <c r="D5" s="3" t="b">
        <v>0</v>
      </c>
      <c r="E5" s="3" t="b">
        <v>0</v>
      </c>
      <c r="F5" s="3" t="b">
        <v>0</v>
      </c>
      <c r="G5" s="7" t="s">
        <v>204</v>
      </c>
      <c r="H5">
        <v>3</v>
      </c>
      <c r="J5" s="16"/>
      <c r="K5" s="16"/>
      <c r="L5" s="16"/>
      <c r="M5" s="16"/>
      <c r="N5" s="16"/>
      <c r="O5" s="16"/>
      <c r="P5" s="16"/>
    </row>
    <row r="6" spans="1:16" x14ac:dyDescent="0.75">
      <c r="A6" t="s">
        <v>239</v>
      </c>
      <c r="B6" s="4" t="s">
        <v>67</v>
      </c>
      <c r="C6" s="3" t="b">
        <v>0</v>
      </c>
      <c r="D6" s="3" t="b">
        <v>0</v>
      </c>
      <c r="E6" s="3" t="b">
        <v>0</v>
      </c>
      <c r="F6" s="3" t="b">
        <v>0</v>
      </c>
      <c r="G6" s="7"/>
      <c r="H6">
        <v>3</v>
      </c>
      <c r="J6" s="16"/>
      <c r="K6" s="16"/>
      <c r="L6" s="16"/>
      <c r="M6" s="16"/>
      <c r="N6" s="16"/>
      <c r="O6" s="16"/>
      <c r="P6" s="16"/>
    </row>
    <row r="7" spans="1:16" x14ac:dyDescent="0.75">
      <c r="B7" s="1" t="s">
        <v>68</v>
      </c>
      <c r="C7" s="3" t="b">
        <v>1</v>
      </c>
      <c r="D7" s="3" t="b">
        <v>0</v>
      </c>
      <c r="E7" s="3" t="b">
        <v>0</v>
      </c>
      <c r="F7" s="3" t="b">
        <v>0</v>
      </c>
      <c r="G7" s="7" t="s">
        <v>204</v>
      </c>
      <c r="H7">
        <v>3</v>
      </c>
      <c r="J7" s="16"/>
      <c r="K7" s="16"/>
      <c r="L7" s="16"/>
      <c r="M7" s="16"/>
      <c r="N7" s="16"/>
      <c r="O7" s="16"/>
      <c r="P7" s="16"/>
    </row>
    <row r="8" spans="1:16" x14ac:dyDescent="0.75">
      <c r="B8" s="1" t="s">
        <v>76</v>
      </c>
      <c r="C8" s="3" t="b">
        <v>1</v>
      </c>
      <c r="D8" s="3" t="b">
        <v>0</v>
      </c>
      <c r="E8" s="3" t="b">
        <v>0</v>
      </c>
      <c r="F8" s="3" t="b">
        <v>0</v>
      </c>
      <c r="G8" s="7" t="s">
        <v>204</v>
      </c>
      <c r="H8">
        <v>3</v>
      </c>
      <c r="J8" s="16"/>
      <c r="K8" s="16"/>
      <c r="L8" s="16"/>
      <c r="M8" s="16"/>
      <c r="N8" s="16"/>
      <c r="O8" s="16"/>
      <c r="P8" s="16"/>
    </row>
    <row r="9" spans="1:16" ht="29.5" x14ac:dyDescent="0.75">
      <c r="B9" s="1" t="s">
        <v>91</v>
      </c>
      <c r="C9" s="3" t="b">
        <v>1</v>
      </c>
      <c r="D9" s="3" t="b">
        <v>0</v>
      </c>
      <c r="E9" s="3" t="b">
        <v>0</v>
      </c>
      <c r="F9" s="3" t="b">
        <v>0</v>
      </c>
      <c r="G9" s="7" t="s">
        <v>204</v>
      </c>
      <c r="H9">
        <v>3</v>
      </c>
      <c r="J9" s="16"/>
      <c r="K9" s="16"/>
      <c r="L9" s="16"/>
      <c r="M9" s="16"/>
      <c r="N9" s="16"/>
      <c r="O9" s="16"/>
      <c r="P9" s="16"/>
    </row>
    <row r="10" spans="1:16" x14ac:dyDescent="0.75">
      <c r="B10" s="1" t="s">
        <v>92</v>
      </c>
      <c r="C10" s="3" t="b">
        <v>0</v>
      </c>
      <c r="D10" s="3" t="b">
        <v>1</v>
      </c>
      <c r="E10" s="3" t="b">
        <v>0</v>
      </c>
      <c r="F10" s="3" t="b">
        <v>0</v>
      </c>
      <c r="G10" s="7" t="s">
        <v>206</v>
      </c>
      <c r="H10">
        <v>3</v>
      </c>
      <c r="J10" s="16"/>
      <c r="K10" s="16"/>
      <c r="L10" s="16"/>
      <c r="M10" s="16"/>
      <c r="N10" s="16"/>
      <c r="O10" s="16"/>
      <c r="P10" s="16"/>
    </row>
    <row r="11" spans="1:16" x14ac:dyDescent="0.75">
      <c r="B11" s="1" t="s">
        <v>96</v>
      </c>
      <c r="C11" s="3" t="b">
        <v>1</v>
      </c>
      <c r="D11" s="3" t="b">
        <v>0</v>
      </c>
      <c r="E11" s="3" t="b">
        <v>0</v>
      </c>
      <c r="F11" s="3" t="b">
        <v>0</v>
      </c>
      <c r="G11" s="7" t="s">
        <v>204</v>
      </c>
      <c r="H11">
        <v>3</v>
      </c>
      <c r="J11" s="16"/>
      <c r="K11" s="16"/>
      <c r="L11" s="16"/>
      <c r="M11" s="16"/>
      <c r="N11" s="16"/>
      <c r="O11" s="16"/>
      <c r="P11" s="16"/>
    </row>
    <row r="12" spans="1:16" x14ac:dyDescent="0.75">
      <c r="B12" s="1" t="s">
        <v>101</v>
      </c>
      <c r="C12" s="3" t="b">
        <v>0</v>
      </c>
      <c r="D12" s="3" t="b">
        <v>0</v>
      </c>
      <c r="E12" s="3" t="b">
        <v>1</v>
      </c>
      <c r="F12" s="3" t="b">
        <v>0</v>
      </c>
      <c r="G12" s="7" t="s">
        <v>207</v>
      </c>
      <c r="H12">
        <v>3</v>
      </c>
      <c r="J12" s="16"/>
      <c r="K12" s="16"/>
      <c r="L12" s="16"/>
      <c r="M12" s="16"/>
      <c r="N12" s="16"/>
      <c r="O12" s="16"/>
      <c r="P12" s="16"/>
    </row>
    <row r="13" spans="1:16" ht="29.5" x14ac:dyDescent="0.75">
      <c r="B13" s="1" t="s">
        <v>107</v>
      </c>
      <c r="C13" s="3" t="b">
        <v>1</v>
      </c>
      <c r="D13" s="3" t="b">
        <v>0</v>
      </c>
      <c r="E13" s="3" t="b">
        <v>0</v>
      </c>
      <c r="F13" s="3" t="b">
        <v>0</v>
      </c>
      <c r="G13" s="7" t="s">
        <v>204</v>
      </c>
      <c r="H13">
        <v>3</v>
      </c>
      <c r="J13" s="16"/>
      <c r="K13" s="16"/>
      <c r="L13" s="16"/>
      <c r="M13" s="16"/>
      <c r="N13" s="16"/>
      <c r="O13" s="16"/>
      <c r="P13" s="16"/>
    </row>
    <row r="14" spans="1:16" x14ac:dyDescent="0.75">
      <c r="B14" s="1" t="s">
        <v>111</v>
      </c>
      <c r="C14" s="3" t="b">
        <v>0</v>
      </c>
      <c r="D14" s="3" t="b">
        <v>0</v>
      </c>
      <c r="E14" s="3" t="b">
        <v>0</v>
      </c>
      <c r="F14" s="3" t="b">
        <v>1</v>
      </c>
      <c r="G14" s="7" t="s">
        <v>208</v>
      </c>
      <c r="H14">
        <v>3</v>
      </c>
      <c r="J14" s="16"/>
      <c r="K14" s="16"/>
      <c r="L14" s="16"/>
      <c r="M14" s="16"/>
      <c r="N14" s="16"/>
      <c r="O14" s="16"/>
      <c r="P14" s="16"/>
    </row>
    <row r="15" spans="1:16" ht="29.5" x14ac:dyDescent="0.75">
      <c r="A15" t="s">
        <v>239</v>
      </c>
      <c r="B15" s="4" t="s">
        <v>118</v>
      </c>
      <c r="C15" s="3" t="b">
        <v>0</v>
      </c>
      <c r="D15" s="3" t="b">
        <v>0</v>
      </c>
      <c r="E15" s="3" t="b">
        <v>0</v>
      </c>
      <c r="F15" s="3" t="b">
        <v>0</v>
      </c>
      <c r="G15" s="7"/>
      <c r="H15">
        <v>3</v>
      </c>
      <c r="J15" s="16"/>
      <c r="K15" s="16"/>
      <c r="L15" s="16"/>
      <c r="M15" s="16"/>
      <c r="N15" s="16"/>
      <c r="O15" s="16"/>
      <c r="P15" s="16"/>
    </row>
    <row r="16" spans="1:16" ht="29.5" x14ac:dyDescent="0.75">
      <c r="B16" s="1" t="s">
        <v>121</v>
      </c>
      <c r="C16" s="3" t="b">
        <v>0</v>
      </c>
      <c r="D16" s="3" t="b">
        <v>0</v>
      </c>
      <c r="E16" s="3" t="b">
        <v>1</v>
      </c>
      <c r="F16" s="3" t="b">
        <v>0</v>
      </c>
      <c r="G16" s="7" t="s">
        <v>209</v>
      </c>
      <c r="H16">
        <v>3</v>
      </c>
      <c r="J16" s="16"/>
      <c r="K16" s="16"/>
      <c r="L16" s="16"/>
      <c r="M16" s="16"/>
      <c r="N16" s="16"/>
      <c r="O16" s="16"/>
      <c r="P16" s="16"/>
    </row>
    <row r="17" spans="1:16" x14ac:dyDescent="0.75">
      <c r="B17" s="1" t="s">
        <v>125</v>
      </c>
      <c r="C17" s="3" t="b">
        <v>0</v>
      </c>
      <c r="D17" s="3" t="b">
        <v>0</v>
      </c>
      <c r="E17" s="3" t="b">
        <v>0</v>
      </c>
      <c r="F17" s="3" t="b">
        <v>1</v>
      </c>
      <c r="G17" s="7" t="s">
        <v>208</v>
      </c>
      <c r="H17">
        <v>3</v>
      </c>
      <c r="J17" s="16"/>
      <c r="K17" s="16"/>
      <c r="L17" s="16"/>
      <c r="M17" s="16"/>
      <c r="N17" s="16"/>
      <c r="O17" s="16"/>
      <c r="P17" s="16"/>
    </row>
    <row r="18" spans="1:16" x14ac:dyDescent="0.75">
      <c r="B18" s="1" t="s">
        <v>126</v>
      </c>
      <c r="C18" s="3" t="b">
        <v>1</v>
      </c>
      <c r="D18" s="3" t="b">
        <v>0</v>
      </c>
      <c r="E18" s="3" t="b">
        <v>0</v>
      </c>
      <c r="F18" s="3" t="b">
        <v>0</v>
      </c>
      <c r="G18" s="7" t="s">
        <v>204</v>
      </c>
      <c r="H18">
        <v>3</v>
      </c>
      <c r="J18" s="16"/>
      <c r="K18" s="16"/>
      <c r="L18" s="16"/>
      <c r="M18" s="16"/>
      <c r="N18" s="16"/>
      <c r="O18" s="16"/>
      <c r="P18" s="16"/>
    </row>
    <row r="19" spans="1:16" x14ac:dyDescent="0.75">
      <c r="B19" s="1" t="s">
        <v>130</v>
      </c>
      <c r="C19" s="3" t="b">
        <v>1</v>
      </c>
      <c r="D19" s="3" t="b">
        <v>0</v>
      </c>
      <c r="E19" s="3" t="b">
        <v>0</v>
      </c>
      <c r="F19" s="3" t="b">
        <v>0</v>
      </c>
      <c r="G19" s="8" t="s">
        <v>204</v>
      </c>
      <c r="H19">
        <v>3</v>
      </c>
      <c r="J19" s="16"/>
      <c r="K19" s="16"/>
      <c r="L19" s="16"/>
      <c r="M19" s="16"/>
      <c r="N19" s="16"/>
      <c r="O19" s="16"/>
      <c r="P19" s="16"/>
    </row>
    <row r="20" spans="1:16" x14ac:dyDescent="0.75">
      <c r="B20" s="1" t="s">
        <v>132</v>
      </c>
      <c r="C20" s="3" t="b">
        <v>0</v>
      </c>
      <c r="D20" s="3" t="b">
        <v>1</v>
      </c>
      <c r="E20" s="3" t="b">
        <v>0</v>
      </c>
      <c r="F20" s="3" t="b">
        <v>0</v>
      </c>
      <c r="G20" s="7" t="s">
        <v>210</v>
      </c>
      <c r="H20">
        <v>3</v>
      </c>
      <c r="J20" s="16"/>
      <c r="K20" s="16"/>
      <c r="L20" s="16"/>
      <c r="M20" s="16"/>
      <c r="N20" s="16"/>
      <c r="O20" s="16"/>
      <c r="P20" s="16"/>
    </row>
    <row r="21" spans="1:16" x14ac:dyDescent="0.75">
      <c r="B21" s="1" t="s">
        <v>139</v>
      </c>
      <c r="C21" s="3" t="b">
        <v>0</v>
      </c>
      <c r="D21" s="3" t="b">
        <v>0</v>
      </c>
      <c r="E21" s="3" t="b">
        <v>1</v>
      </c>
      <c r="F21" s="3" t="b">
        <v>0</v>
      </c>
      <c r="G21" s="7" t="s">
        <v>211</v>
      </c>
      <c r="H21">
        <v>3</v>
      </c>
      <c r="J21" s="16"/>
      <c r="K21" s="16"/>
      <c r="L21" s="16"/>
      <c r="M21" s="16"/>
      <c r="N21" s="16"/>
      <c r="O21" s="16"/>
      <c r="P21" s="16"/>
    </row>
    <row r="22" spans="1:16" ht="29.5" x14ac:dyDescent="0.75">
      <c r="B22" s="1" t="s">
        <v>169</v>
      </c>
      <c r="C22" s="3" t="b">
        <v>0</v>
      </c>
      <c r="D22" s="3" t="b">
        <v>0</v>
      </c>
      <c r="E22" s="3" t="b">
        <v>0</v>
      </c>
      <c r="F22" s="3" t="b">
        <v>1</v>
      </c>
      <c r="G22" s="7" t="s">
        <v>208</v>
      </c>
      <c r="H22">
        <v>3</v>
      </c>
      <c r="J22" s="16"/>
      <c r="K22" s="16"/>
      <c r="L22" s="16"/>
      <c r="M22" s="16"/>
      <c r="N22" s="16"/>
      <c r="O22" s="16"/>
      <c r="P22" s="16"/>
    </row>
    <row r="23" spans="1:16" x14ac:dyDescent="0.75">
      <c r="B23" s="1" t="s">
        <v>171</v>
      </c>
      <c r="C23" s="3" t="b">
        <v>1</v>
      </c>
      <c r="D23" s="3" t="b">
        <v>0</v>
      </c>
      <c r="E23" s="3" t="b">
        <v>0</v>
      </c>
      <c r="F23" s="3" t="b">
        <v>0</v>
      </c>
      <c r="G23" s="7" t="s">
        <v>204</v>
      </c>
      <c r="H23">
        <v>3</v>
      </c>
      <c r="J23" s="16"/>
      <c r="K23" s="16"/>
      <c r="L23" s="16"/>
      <c r="M23" s="16"/>
      <c r="N23" s="16"/>
      <c r="O23" s="16"/>
      <c r="P23" s="16"/>
    </row>
    <row r="24" spans="1:16" x14ac:dyDescent="0.75">
      <c r="A24" t="s">
        <v>239</v>
      </c>
      <c r="B24" s="4" t="s">
        <v>174</v>
      </c>
      <c r="C24" s="3" t="b">
        <v>0</v>
      </c>
      <c r="D24" s="3" t="b">
        <v>0</v>
      </c>
      <c r="E24" s="3" t="b">
        <v>0</v>
      </c>
      <c r="F24" s="3" t="b">
        <v>0</v>
      </c>
      <c r="G24" s="7"/>
      <c r="H24">
        <v>3</v>
      </c>
      <c r="J24" s="16"/>
      <c r="K24" s="16"/>
      <c r="L24" s="16"/>
      <c r="M24" s="16"/>
      <c r="N24" s="16"/>
      <c r="O24" s="16"/>
      <c r="P24" s="16"/>
    </row>
    <row r="25" spans="1:16" x14ac:dyDescent="0.75">
      <c r="B25" s="1" t="s">
        <v>175</v>
      </c>
      <c r="C25" s="3" t="b">
        <v>0</v>
      </c>
      <c r="D25" s="3" t="b">
        <v>0</v>
      </c>
      <c r="E25" s="3" t="b">
        <v>1</v>
      </c>
      <c r="F25" s="3" t="b">
        <v>0</v>
      </c>
      <c r="G25" s="7" t="s">
        <v>212</v>
      </c>
      <c r="H25">
        <v>3</v>
      </c>
      <c r="J25" s="16"/>
      <c r="K25" s="16"/>
      <c r="L25" s="16"/>
      <c r="M25" s="16"/>
      <c r="N25" s="16"/>
      <c r="O25" s="16"/>
      <c r="P25" s="16"/>
    </row>
    <row r="26" spans="1:16" x14ac:dyDescent="0.75">
      <c r="B26" s="1" t="s">
        <v>176</v>
      </c>
      <c r="C26" s="3" t="b">
        <v>1</v>
      </c>
      <c r="D26" s="3" t="b">
        <v>0</v>
      </c>
      <c r="E26" s="3" t="b">
        <v>0</v>
      </c>
      <c r="F26" s="3" t="b">
        <v>0</v>
      </c>
      <c r="G26" s="7" t="s">
        <v>204</v>
      </c>
      <c r="H26">
        <v>3</v>
      </c>
      <c r="J26" s="16"/>
      <c r="K26" s="16"/>
      <c r="L26" s="16"/>
      <c r="M26" s="16"/>
      <c r="N26" s="16"/>
      <c r="O26" s="16"/>
      <c r="P26" s="16"/>
    </row>
    <row r="27" spans="1:16" x14ac:dyDescent="0.75">
      <c r="B27" s="1" t="s">
        <v>177</v>
      </c>
      <c r="C27" s="3" t="b">
        <v>1</v>
      </c>
      <c r="D27" s="3" t="b">
        <v>0</v>
      </c>
      <c r="E27" s="3" t="b">
        <v>0</v>
      </c>
      <c r="F27" s="3" t="b">
        <v>0</v>
      </c>
      <c r="G27" s="7" t="s">
        <v>204</v>
      </c>
      <c r="H27">
        <v>3</v>
      </c>
    </row>
    <row r="28" spans="1:16" x14ac:dyDescent="0.75">
      <c r="B28" s="1" t="s">
        <v>178</v>
      </c>
      <c r="C28" s="3" t="b">
        <v>0</v>
      </c>
      <c r="D28" s="3" t="b">
        <v>0</v>
      </c>
      <c r="E28" s="3" t="b">
        <v>1</v>
      </c>
      <c r="F28" s="3" t="b">
        <v>0</v>
      </c>
      <c r="G28" s="7" t="s">
        <v>205</v>
      </c>
      <c r="H28">
        <v>3</v>
      </c>
      <c r="J28" t="s">
        <v>223</v>
      </c>
      <c r="K28" t="s">
        <v>229</v>
      </c>
    </row>
    <row r="29" spans="1:16" x14ac:dyDescent="0.75">
      <c r="A29" t="s">
        <v>239</v>
      </c>
      <c r="B29" s="4" t="s">
        <v>179</v>
      </c>
      <c r="C29" s="3" t="b">
        <v>0</v>
      </c>
      <c r="D29" s="3" t="b">
        <v>0</v>
      </c>
      <c r="E29" s="3" t="b">
        <v>0</v>
      </c>
      <c r="F29" s="3" t="b">
        <v>0</v>
      </c>
      <c r="G29" s="7"/>
      <c r="H29">
        <v>3</v>
      </c>
    </row>
    <row r="30" spans="1:16" x14ac:dyDescent="0.75">
      <c r="B30" s="1" t="s">
        <v>195</v>
      </c>
      <c r="C30" s="3" t="b">
        <v>1</v>
      </c>
      <c r="D30" s="3" t="b">
        <v>0</v>
      </c>
      <c r="E30" s="3" t="b">
        <v>0</v>
      </c>
      <c r="F30" s="3" t="b">
        <v>0</v>
      </c>
      <c r="G30" s="7" t="s">
        <v>204</v>
      </c>
      <c r="H30">
        <v>3</v>
      </c>
      <c r="L30" s="6"/>
    </row>
    <row r="31" spans="1:16" x14ac:dyDescent="0.75">
      <c r="B31" s="1" t="s">
        <v>196</v>
      </c>
      <c r="C31" s="3" t="b">
        <v>1</v>
      </c>
      <c r="D31" s="3" t="b">
        <v>0</v>
      </c>
      <c r="E31" s="3" t="b">
        <v>0</v>
      </c>
      <c r="F31" s="3" t="b">
        <v>0</v>
      </c>
      <c r="G31" s="7" t="s">
        <v>204</v>
      </c>
      <c r="H31">
        <v>3</v>
      </c>
    </row>
    <row r="32" spans="1:16" x14ac:dyDescent="0.75">
      <c r="G32" s="7"/>
    </row>
    <row r="33" spans="3:7" x14ac:dyDescent="0.75">
      <c r="G33" s="7"/>
    </row>
    <row r="34" spans="3:7" x14ac:dyDescent="0.75">
      <c r="C34">
        <f>COUNTIF(C3:C31, TRUE)</f>
        <v>14</v>
      </c>
      <c r="D34">
        <f t="shared" ref="D34:F34" si="0">COUNTIF(D3:D31, TRUE)</f>
        <v>2</v>
      </c>
      <c r="E34">
        <f t="shared" si="0"/>
        <v>5</v>
      </c>
      <c r="F34">
        <f t="shared" si="0"/>
        <v>3</v>
      </c>
      <c r="G34" s="7">
        <f>SUM(C34:F34)</f>
        <v>24</v>
      </c>
    </row>
  </sheetData>
  <mergeCells count="1">
    <mergeCell ref="J3:P26"/>
  </mergeCells>
  <phoneticPr fontId="3" type="noConversion"/>
  <conditionalFormatting sqref="H3:H31">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CC31-9724-4965-B1B9-E9CE3ACBE516}">
  <dimension ref="A1:P34"/>
  <sheetViews>
    <sheetView topLeftCell="A19" zoomScale="95" workbookViewId="0">
      <selection activeCell="J29" sqref="J29:O33"/>
    </sheetView>
  </sheetViews>
  <sheetFormatPr defaultRowHeight="14.75" x14ac:dyDescent="0.75"/>
  <cols>
    <col min="2" max="2" width="89.453125" customWidth="1"/>
    <col min="7" max="7" width="41.6796875" customWidth="1"/>
  </cols>
  <sheetData>
    <row r="1" spans="1:16" x14ac:dyDescent="0.75">
      <c r="A1" s="10"/>
      <c r="B1" s="10" t="s">
        <v>6</v>
      </c>
      <c r="C1" s="10"/>
      <c r="D1" s="10"/>
      <c r="E1" s="10"/>
      <c r="F1" s="10"/>
      <c r="G1" s="11" t="s">
        <v>199</v>
      </c>
      <c r="H1" s="10" t="s">
        <v>200</v>
      </c>
    </row>
    <row r="2" spans="1:16" x14ac:dyDescent="0.75">
      <c r="A2" s="10" t="s">
        <v>238</v>
      </c>
      <c r="B2" s="10" t="s">
        <v>186</v>
      </c>
      <c r="C2" s="10" t="s">
        <v>237</v>
      </c>
      <c r="D2" s="10" t="s">
        <v>201</v>
      </c>
      <c r="E2" s="10" t="s">
        <v>202</v>
      </c>
      <c r="F2" s="10" t="s">
        <v>203</v>
      </c>
      <c r="G2" s="11"/>
      <c r="H2" s="10"/>
    </row>
    <row r="3" spans="1:16" ht="29.5" x14ac:dyDescent="0.75">
      <c r="B3" s="1" t="s">
        <v>27</v>
      </c>
      <c r="C3" s="3" t="b">
        <v>1</v>
      </c>
      <c r="D3" s="3" t="b">
        <v>0</v>
      </c>
      <c r="E3" s="3" t="b">
        <v>0</v>
      </c>
      <c r="F3" s="3" t="b">
        <v>0</v>
      </c>
      <c r="G3" s="7" t="s">
        <v>204</v>
      </c>
      <c r="H3">
        <v>3</v>
      </c>
      <c r="J3" s="16" t="s">
        <v>14</v>
      </c>
      <c r="K3" s="16"/>
      <c r="L3" s="16"/>
      <c r="M3" s="16"/>
      <c r="N3" s="16"/>
      <c r="O3" s="16"/>
      <c r="P3" s="16"/>
    </row>
    <row r="4" spans="1:16" x14ac:dyDescent="0.75">
      <c r="B4" s="1" t="s">
        <v>48</v>
      </c>
      <c r="C4" s="3" t="b">
        <v>1</v>
      </c>
      <c r="D4" s="3" t="b">
        <v>0</v>
      </c>
      <c r="E4" s="3" t="b">
        <v>0</v>
      </c>
      <c r="F4" s="3" t="b">
        <v>0</v>
      </c>
      <c r="G4" s="7" t="s">
        <v>204</v>
      </c>
      <c r="H4">
        <v>3</v>
      </c>
      <c r="J4" s="16"/>
      <c r="K4" s="16"/>
      <c r="L4" s="16"/>
      <c r="M4" s="16"/>
      <c r="N4" s="16"/>
      <c r="O4" s="16"/>
      <c r="P4" s="16"/>
    </row>
    <row r="5" spans="1:16" x14ac:dyDescent="0.75">
      <c r="B5" s="1" t="s">
        <v>50</v>
      </c>
      <c r="C5" s="3" t="b">
        <v>1</v>
      </c>
      <c r="D5" s="3" t="b">
        <v>0</v>
      </c>
      <c r="E5" s="3" t="b">
        <v>0</v>
      </c>
      <c r="F5" s="3" t="b">
        <v>0</v>
      </c>
      <c r="G5" s="7" t="s">
        <v>204</v>
      </c>
      <c r="H5">
        <v>3</v>
      </c>
      <c r="J5" s="16"/>
      <c r="K5" s="16"/>
      <c r="L5" s="16"/>
      <c r="M5" s="16"/>
      <c r="N5" s="16"/>
      <c r="O5" s="16"/>
      <c r="P5" s="16"/>
    </row>
    <row r="6" spans="1:16" x14ac:dyDescent="0.75">
      <c r="B6" s="1" t="s">
        <v>51</v>
      </c>
      <c r="C6" s="3" t="b">
        <v>0</v>
      </c>
      <c r="D6" s="3" t="b">
        <v>0</v>
      </c>
      <c r="E6" s="3" t="b">
        <v>1</v>
      </c>
      <c r="F6" s="3" t="b">
        <v>0</v>
      </c>
      <c r="G6" s="7" t="s">
        <v>205</v>
      </c>
      <c r="H6">
        <v>3</v>
      </c>
      <c r="J6" s="16"/>
      <c r="K6" s="16"/>
      <c r="L6" s="16"/>
      <c r="M6" s="16"/>
      <c r="N6" s="16"/>
      <c r="O6" s="16"/>
      <c r="P6" s="16"/>
    </row>
    <row r="7" spans="1:16" x14ac:dyDescent="0.75">
      <c r="A7" t="s">
        <v>239</v>
      </c>
      <c r="B7" s="4" t="s">
        <v>58</v>
      </c>
      <c r="C7" s="3" t="b">
        <v>0</v>
      </c>
      <c r="D7" s="3" t="b">
        <v>0</v>
      </c>
      <c r="E7" s="3" t="b">
        <v>0</v>
      </c>
      <c r="F7" s="3" t="b">
        <v>0</v>
      </c>
      <c r="G7" s="7"/>
      <c r="H7">
        <v>3</v>
      </c>
      <c r="J7" s="16"/>
      <c r="K7" s="16"/>
      <c r="L7" s="16"/>
      <c r="M7" s="16"/>
      <c r="N7" s="16"/>
      <c r="O7" s="16"/>
      <c r="P7" s="16"/>
    </row>
    <row r="8" spans="1:16" x14ac:dyDescent="0.75">
      <c r="B8" s="1" t="s">
        <v>70</v>
      </c>
      <c r="C8" s="3" t="b">
        <v>1</v>
      </c>
      <c r="D8" s="3" t="b">
        <v>0</v>
      </c>
      <c r="E8" s="3" t="b">
        <v>0</v>
      </c>
      <c r="F8" s="3" t="b">
        <v>0</v>
      </c>
      <c r="G8" s="7" t="s">
        <v>204</v>
      </c>
      <c r="H8">
        <v>3</v>
      </c>
      <c r="J8" s="16"/>
      <c r="K8" s="16"/>
      <c r="L8" s="16"/>
      <c r="M8" s="16"/>
      <c r="N8" s="16"/>
      <c r="O8" s="16"/>
      <c r="P8" s="16"/>
    </row>
    <row r="9" spans="1:16" ht="29.5" x14ac:dyDescent="0.75">
      <c r="B9" s="1" t="s">
        <v>78</v>
      </c>
      <c r="C9" s="3" t="b">
        <v>1</v>
      </c>
      <c r="D9" s="3" t="b">
        <v>0</v>
      </c>
      <c r="E9" s="3" t="b">
        <v>0</v>
      </c>
      <c r="F9" s="3" t="b">
        <v>0</v>
      </c>
      <c r="G9" s="7" t="s">
        <v>204</v>
      </c>
      <c r="H9">
        <v>3</v>
      </c>
      <c r="J9" s="16"/>
      <c r="K9" s="16"/>
      <c r="L9" s="16"/>
      <c r="M9" s="16"/>
      <c r="N9" s="16"/>
      <c r="O9" s="16"/>
      <c r="P9" s="16"/>
    </row>
    <row r="10" spans="1:16" ht="29.5" x14ac:dyDescent="0.75">
      <c r="B10" s="1" t="s">
        <v>84</v>
      </c>
      <c r="C10" s="3" t="b">
        <v>0</v>
      </c>
      <c r="D10" s="3" t="b">
        <v>1</v>
      </c>
      <c r="E10" s="3" t="b">
        <v>0</v>
      </c>
      <c r="F10" s="3" t="b">
        <v>0</v>
      </c>
      <c r="G10" s="7" t="s">
        <v>214</v>
      </c>
      <c r="H10">
        <v>3</v>
      </c>
      <c r="J10" s="16"/>
      <c r="K10" s="16"/>
      <c r="L10" s="16"/>
      <c r="M10" s="16"/>
      <c r="N10" s="16"/>
      <c r="O10" s="16"/>
      <c r="P10" s="16"/>
    </row>
    <row r="11" spans="1:16" x14ac:dyDescent="0.75">
      <c r="B11" s="1" t="s">
        <v>86</v>
      </c>
      <c r="C11" s="3" t="b">
        <v>1</v>
      </c>
      <c r="D11" s="3" t="b">
        <v>0</v>
      </c>
      <c r="E11" s="3" t="b">
        <v>0</v>
      </c>
      <c r="F11" s="3" t="b">
        <v>0</v>
      </c>
      <c r="G11" s="7" t="s">
        <v>204</v>
      </c>
      <c r="H11">
        <v>3</v>
      </c>
      <c r="J11" s="16"/>
      <c r="K11" s="16"/>
      <c r="L11" s="16"/>
      <c r="M11" s="16"/>
      <c r="N11" s="16"/>
      <c r="O11" s="16"/>
      <c r="P11" s="16"/>
    </row>
    <row r="12" spans="1:16" x14ac:dyDescent="0.75">
      <c r="B12" s="1" t="s">
        <v>97</v>
      </c>
      <c r="C12" s="3" t="b">
        <v>1</v>
      </c>
      <c r="D12" s="3" t="b">
        <v>0</v>
      </c>
      <c r="E12" s="3" t="b">
        <v>0</v>
      </c>
      <c r="F12" s="3" t="b">
        <v>0</v>
      </c>
      <c r="G12" s="7" t="s">
        <v>204</v>
      </c>
      <c r="H12">
        <v>3</v>
      </c>
      <c r="J12" s="16"/>
      <c r="K12" s="16"/>
      <c r="L12" s="16"/>
      <c r="M12" s="16"/>
      <c r="N12" s="16"/>
      <c r="O12" s="16"/>
      <c r="P12" s="16"/>
    </row>
    <row r="13" spans="1:16" ht="29.5" x14ac:dyDescent="0.75">
      <c r="B13" s="1" t="s">
        <v>99</v>
      </c>
      <c r="C13" s="3" t="b">
        <v>1</v>
      </c>
      <c r="D13" s="3" t="b">
        <v>0</v>
      </c>
      <c r="E13" s="3" t="b">
        <v>0</v>
      </c>
      <c r="F13" s="3" t="b">
        <v>0</v>
      </c>
      <c r="G13" s="7" t="s">
        <v>204</v>
      </c>
      <c r="H13">
        <v>3</v>
      </c>
      <c r="J13" s="16"/>
      <c r="K13" s="16"/>
      <c r="L13" s="16"/>
      <c r="M13" s="16"/>
      <c r="N13" s="16"/>
      <c r="O13" s="16"/>
      <c r="P13" s="16"/>
    </row>
    <row r="14" spans="1:16" x14ac:dyDescent="0.75">
      <c r="B14" s="1" t="s">
        <v>102</v>
      </c>
      <c r="C14" s="3" t="b">
        <v>0</v>
      </c>
      <c r="D14" s="3" t="b">
        <v>1</v>
      </c>
      <c r="E14" s="3" t="b">
        <v>0</v>
      </c>
      <c r="F14" s="3" t="b">
        <v>0</v>
      </c>
      <c r="G14" s="7" t="s">
        <v>215</v>
      </c>
      <c r="H14">
        <v>3</v>
      </c>
      <c r="J14" s="16"/>
      <c r="K14" s="16"/>
      <c r="L14" s="16"/>
      <c r="M14" s="16"/>
      <c r="N14" s="16"/>
      <c r="O14" s="16"/>
      <c r="P14" s="16"/>
    </row>
    <row r="15" spans="1:16" x14ac:dyDescent="0.75">
      <c r="B15" s="1" t="s">
        <v>112</v>
      </c>
      <c r="C15" s="3" t="b">
        <v>0</v>
      </c>
      <c r="D15" s="3" t="b">
        <v>1</v>
      </c>
      <c r="E15" s="3" t="b">
        <v>0</v>
      </c>
      <c r="F15" s="3" t="b">
        <v>0</v>
      </c>
      <c r="G15" s="7" t="s">
        <v>215</v>
      </c>
      <c r="H15">
        <v>3</v>
      </c>
      <c r="J15" s="16"/>
      <c r="K15" s="16"/>
      <c r="L15" s="16"/>
      <c r="M15" s="16"/>
      <c r="N15" s="16"/>
      <c r="O15" s="16"/>
      <c r="P15" s="16"/>
    </row>
    <row r="16" spans="1:16" ht="44.25" x14ac:dyDescent="0.75">
      <c r="B16" s="1" t="s">
        <v>120</v>
      </c>
      <c r="C16" s="3" t="b">
        <v>1</v>
      </c>
      <c r="D16" s="3" t="b">
        <v>0</v>
      </c>
      <c r="E16" s="3" t="b">
        <v>0</v>
      </c>
      <c r="F16" s="3" t="b">
        <v>0</v>
      </c>
      <c r="G16" s="7" t="s">
        <v>204</v>
      </c>
      <c r="H16">
        <v>3</v>
      </c>
      <c r="J16" s="16"/>
      <c r="K16" s="16"/>
      <c r="L16" s="16"/>
      <c r="M16" s="16"/>
      <c r="N16" s="16"/>
      <c r="O16" s="16"/>
      <c r="P16" s="16"/>
    </row>
    <row r="17" spans="2:16" x14ac:dyDescent="0.75">
      <c r="B17" s="1" t="s">
        <v>122</v>
      </c>
      <c r="C17" s="3" t="b">
        <v>0</v>
      </c>
      <c r="D17" s="3" t="b">
        <v>1</v>
      </c>
      <c r="E17" s="3" t="b">
        <v>0</v>
      </c>
      <c r="F17" s="3" t="b">
        <v>0</v>
      </c>
      <c r="G17" s="7" t="s">
        <v>215</v>
      </c>
      <c r="H17">
        <v>3</v>
      </c>
      <c r="J17" s="16"/>
      <c r="K17" s="16"/>
      <c r="L17" s="16"/>
      <c r="M17" s="16"/>
      <c r="N17" s="16"/>
      <c r="O17" s="16"/>
      <c r="P17" s="16"/>
    </row>
    <row r="18" spans="2:16" x14ac:dyDescent="0.75">
      <c r="B18" s="1" t="s">
        <v>134</v>
      </c>
      <c r="C18" s="3" t="b">
        <v>0</v>
      </c>
      <c r="D18" s="3" t="b">
        <v>0</v>
      </c>
      <c r="E18" s="3" t="b">
        <v>1</v>
      </c>
      <c r="F18" s="3" t="b">
        <v>0</v>
      </c>
      <c r="G18" s="7" t="s">
        <v>205</v>
      </c>
      <c r="H18">
        <v>3</v>
      </c>
      <c r="J18" s="16"/>
      <c r="K18" s="16"/>
      <c r="L18" s="16"/>
      <c r="M18" s="16"/>
      <c r="N18" s="16"/>
      <c r="O18" s="16"/>
      <c r="P18" s="16"/>
    </row>
    <row r="19" spans="2:16" x14ac:dyDescent="0.75">
      <c r="B19" s="1" t="s">
        <v>136</v>
      </c>
      <c r="C19" s="3" t="b">
        <v>0</v>
      </c>
      <c r="D19" s="3" t="b">
        <v>1</v>
      </c>
      <c r="E19" s="3" t="b">
        <v>0</v>
      </c>
      <c r="F19" s="3" t="b">
        <v>0</v>
      </c>
      <c r="G19" s="8" t="s">
        <v>215</v>
      </c>
      <c r="H19">
        <v>3</v>
      </c>
      <c r="J19" s="16"/>
      <c r="K19" s="16"/>
      <c r="L19" s="16"/>
      <c r="M19" s="16"/>
      <c r="N19" s="16"/>
      <c r="O19" s="16"/>
      <c r="P19" s="16"/>
    </row>
    <row r="20" spans="2:16" x14ac:dyDescent="0.75">
      <c r="B20" s="1" t="s">
        <v>138</v>
      </c>
      <c r="C20" s="3" t="b">
        <v>1</v>
      </c>
      <c r="D20" s="3" t="b">
        <v>0</v>
      </c>
      <c r="E20" s="3" t="b">
        <v>0</v>
      </c>
      <c r="F20" s="3" t="b">
        <v>0</v>
      </c>
      <c r="G20" s="7" t="s">
        <v>204</v>
      </c>
      <c r="H20">
        <v>3</v>
      </c>
      <c r="J20" s="16"/>
      <c r="K20" s="16"/>
      <c r="L20" s="16"/>
      <c r="M20" s="16"/>
      <c r="N20" s="16"/>
      <c r="O20" s="16"/>
      <c r="P20" s="16"/>
    </row>
    <row r="21" spans="2:16" ht="29.5" x14ac:dyDescent="0.75">
      <c r="B21" s="1" t="s">
        <v>143</v>
      </c>
      <c r="C21" s="3" t="b">
        <v>1</v>
      </c>
      <c r="D21" s="3" t="b">
        <v>0</v>
      </c>
      <c r="E21" s="3" t="b">
        <v>0</v>
      </c>
      <c r="F21" s="3" t="b">
        <v>0</v>
      </c>
      <c r="G21" s="7" t="s">
        <v>204</v>
      </c>
      <c r="H21">
        <v>3</v>
      </c>
      <c r="J21" s="16"/>
      <c r="K21" s="16"/>
      <c r="L21" s="16"/>
      <c r="M21" s="16"/>
      <c r="N21" s="16"/>
      <c r="O21" s="16"/>
      <c r="P21" s="16"/>
    </row>
    <row r="22" spans="2:16" ht="29.5" x14ac:dyDescent="0.75">
      <c r="B22" s="1" t="s">
        <v>147</v>
      </c>
      <c r="C22" s="3" t="b">
        <v>1</v>
      </c>
      <c r="D22" s="3" t="b">
        <v>0</v>
      </c>
      <c r="E22" s="3" t="b">
        <v>0</v>
      </c>
      <c r="F22" s="3" t="b">
        <v>0</v>
      </c>
      <c r="G22" s="7" t="s">
        <v>204</v>
      </c>
      <c r="H22">
        <v>3</v>
      </c>
      <c r="J22" s="16"/>
      <c r="K22" s="16"/>
      <c r="L22" s="16"/>
      <c r="M22" s="16"/>
      <c r="N22" s="16"/>
      <c r="O22" s="16"/>
      <c r="P22" s="16"/>
    </row>
    <row r="23" spans="2:16" x14ac:dyDescent="0.75">
      <c r="B23" s="1" t="s">
        <v>148</v>
      </c>
      <c r="C23" s="3" t="b">
        <v>0</v>
      </c>
      <c r="D23" s="3" t="b">
        <v>0</v>
      </c>
      <c r="E23" s="3" t="b">
        <v>1</v>
      </c>
      <c r="F23" s="3" t="b">
        <v>0</v>
      </c>
      <c r="G23" s="7" t="s">
        <v>205</v>
      </c>
      <c r="H23">
        <v>3</v>
      </c>
      <c r="J23" s="16"/>
      <c r="K23" s="16"/>
      <c r="L23" s="16"/>
      <c r="M23" s="16"/>
      <c r="N23" s="16"/>
      <c r="O23" s="16"/>
      <c r="P23" s="16"/>
    </row>
    <row r="24" spans="2:16" x14ac:dyDescent="0.75">
      <c r="B24" s="1" t="s">
        <v>156</v>
      </c>
      <c r="C24" s="3" t="b">
        <v>1</v>
      </c>
      <c r="D24" s="3" t="b">
        <v>0</v>
      </c>
      <c r="E24" s="3" t="b">
        <v>0</v>
      </c>
      <c r="F24" s="3" t="b">
        <v>0</v>
      </c>
      <c r="G24" s="7" t="s">
        <v>204</v>
      </c>
      <c r="H24">
        <v>3</v>
      </c>
      <c r="J24" s="16"/>
      <c r="K24" s="16"/>
      <c r="L24" s="16"/>
      <c r="M24" s="16"/>
      <c r="N24" s="16"/>
      <c r="O24" s="16"/>
      <c r="P24" s="16"/>
    </row>
    <row r="25" spans="2:16" x14ac:dyDescent="0.75">
      <c r="B25" s="1" t="s">
        <v>157</v>
      </c>
      <c r="C25" s="3" t="b">
        <v>1</v>
      </c>
      <c r="D25" s="3" t="b">
        <v>0</v>
      </c>
      <c r="E25" s="3" t="b">
        <v>0</v>
      </c>
      <c r="F25" s="3" t="b">
        <v>0</v>
      </c>
      <c r="G25" s="7" t="s">
        <v>204</v>
      </c>
      <c r="H25">
        <v>3</v>
      </c>
      <c r="J25" s="16"/>
      <c r="K25" s="16"/>
      <c r="L25" s="16"/>
      <c r="M25" s="16"/>
      <c r="N25" s="16"/>
      <c r="O25" s="16"/>
      <c r="P25" s="16"/>
    </row>
    <row r="26" spans="2:16" ht="29.5" x14ac:dyDescent="0.75">
      <c r="B26" s="1" t="s">
        <v>172</v>
      </c>
      <c r="C26" s="3" t="b">
        <v>0</v>
      </c>
      <c r="D26" s="3" t="b">
        <v>0</v>
      </c>
      <c r="E26" s="3" t="b">
        <v>0</v>
      </c>
      <c r="F26" s="3" t="b">
        <v>1</v>
      </c>
      <c r="G26" s="7" t="s">
        <v>213</v>
      </c>
      <c r="H26">
        <v>3</v>
      </c>
      <c r="J26" s="16"/>
      <c r="K26" s="16"/>
      <c r="L26" s="16"/>
      <c r="M26" s="16"/>
      <c r="N26" s="16"/>
      <c r="O26" s="16"/>
      <c r="P26" s="16"/>
    </row>
    <row r="27" spans="2:16" ht="29.5" x14ac:dyDescent="0.75">
      <c r="B27" s="1" t="s">
        <v>173</v>
      </c>
      <c r="C27" s="3" t="b">
        <v>1</v>
      </c>
      <c r="D27" s="3" t="b">
        <v>0</v>
      </c>
      <c r="E27" s="3" t="b">
        <v>0</v>
      </c>
      <c r="F27" s="3" t="b">
        <v>0</v>
      </c>
      <c r="G27" s="7" t="s">
        <v>204</v>
      </c>
      <c r="H27">
        <v>3</v>
      </c>
    </row>
    <row r="28" spans="2:16" x14ac:dyDescent="0.75">
      <c r="G28" s="7"/>
      <c r="J28" t="s">
        <v>223</v>
      </c>
      <c r="K28" t="s">
        <v>230</v>
      </c>
    </row>
    <row r="29" spans="2:16" x14ac:dyDescent="0.75">
      <c r="G29" s="7"/>
    </row>
    <row r="30" spans="2:16" x14ac:dyDescent="0.75">
      <c r="G30" s="7"/>
      <c r="L30" s="6"/>
    </row>
    <row r="31" spans="2:16" x14ac:dyDescent="0.75">
      <c r="G31" s="7"/>
    </row>
    <row r="32" spans="2:16" x14ac:dyDescent="0.75">
      <c r="G32" s="7"/>
    </row>
    <row r="33" spans="3:7" x14ac:dyDescent="0.75">
      <c r="G33" s="7"/>
    </row>
    <row r="34" spans="3:7" x14ac:dyDescent="0.75">
      <c r="C34">
        <f>COUNTIF(C3:C31, TRUE)</f>
        <v>15</v>
      </c>
      <c r="D34">
        <f t="shared" ref="D34:F34" si="0">COUNTIF(D3:D31, TRUE)</f>
        <v>5</v>
      </c>
      <c r="E34">
        <f t="shared" si="0"/>
        <v>3</v>
      </c>
      <c r="F34">
        <f t="shared" si="0"/>
        <v>1</v>
      </c>
      <c r="G34" s="7">
        <f>SUM(C34:F34)</f>
        <v>24</v>
      </c>
    </row>
  </sheetData>
  <mergeCells count="1">
    <mergeCell ref="J3:P26"/>
  </mergeCells>
  <phoneticPr fontId="3" type="noConversion"/>
  <conditionalFormatting sqref="H3:H27">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A104-6038-41AF-8FB6-101F15CBB5C4}">
  <dimension ref="A1:P34"/>
  <sheetViews>
    <sheetView topLeftCell="B23" workbookViewId="0">
      <selection activeCell="G35" sqref="G35"/>
    </sheetView>
  </sheetViews>
  <sheetFormatPr defaultRowHeight="14.75" x14ac:dyDescent="0.75"/>
  <cols>
    <col min="2" max="2" width="88.2265625" customWidth="1"/>
    <col min="7" max="7" width="38.31640625" customWidth="1"/>
    <col min="8" max="8" width="13.6796875" customWidth="1"/>
  </cols>
  <sheetData>
    <row r="1" spans="1:16" x14ac:dyDescent="0.75">
      <c r="A1" s="10"/>
      <c r="B1" s="10" t="s">
        <v>7</v>
      </c>
      <c r="C1" s="10"/>
      <c r="D1" s="10"/>
      <c r="E1" s="10"/>
      <c r="F1" s="10"/>
      <c r="G1" s="11" t="s">
        <v>199</v>
      </c>
      <c r="H1" s="10" t="s">
        <v>200</v>
      </c>
    </row>
    <row r="2" spans="1:16" x14ac:dyDescent="0.75">
      <c r="A2" s="10" t="s">
        <v>238</v>
      </c>
      <c r="B2" s="10" t="s">
        <v>123</v>
      </c>
      <c r="C2" s="10" t="s">
        <v>237</v>
      </c>
      <c r="D2" s="10" t="s">
        <v>201</v>
      </c>
      <c r="E2" s="10" t="s">
        <v>202</v>
      </c>
      <c r="F2" s="10" t="s">
        <v>203</v>
      </c>
      <c r="G2" s="11"/>
      <c r="H2" s="10"/>
    </row>
    <row r="3" spans="1:16" ht="29.5" x14ac:dyDescent="0.75">
      <c r="B3" s="1" t="s">
        <v>32</v>
      </c>
      <c r="C3" s="3" t="b">
        <v>0</v>
      </c>
      <c r="D3" s="3" t="b">
        <v>1</v>
      </c>
      <c r="E3" s="3" t="b">
        <v>0</v>
      </c>
      <c r="F3" s="3" t="b">
        <v>0</v>
      </c>
      <c r="G3" s="7" t="s">
        <v>216</v>
      </c>
      <c r="H3">
        <v>3</v>
      </c>
      <c r="J3" s="16" t="s">
        <v>15</v>
      </c>
      <c r="K3" s="16"/>
      <c r="L3" s="16"/>
      <c r="M3" s="16"/>
      <c r="N3" s="16"/>
      <c r="O3" s="16"/>
      <c r="P3" s="16"/>
    </row>
    <row r="4" spans="1:16" x14ac:dyDescent="0.75">
      <c r="B4" s="1" t="s">
        <v>43</v>
      </c>
      <c r="C4" s="3" t="b">
        <v>1</v>
      </c>
      <c r="D4" s="3" t="b">
        <v>0</v>
      </c>
      <c r="E4" s="3" t="b">
        <v>0</v>
      </c>
      <c r="F4" s="3" t="b">
        <v>0</v>
      </c>
      <c r="G4" s="7" t="s">
        <v>204</v>
      </c>
      <c r="H4">
        <v>3</v>
      </c>
      <c r="J4" s="16"/>
      <c r="K4" s="16"/>
      <c r="L4" s="16"/>
      <c r="M4" s="16"/>
      <c r="N4" s="16"/>
      <c r="O4" s="16"/>
      <c r="P4" s="16"/>
    </row>
    <row r="5" spans="1:16" ht="29.5" x14ac:dyDescent="0.75">
      <c r="B5" s="1" t="s">
        <v>45</v>
      </c>
      <c r="C5" s="3" t="b">
        <v>1</v>
      </c>
      <c r="D5" s="3" t="b">
        <v>0</v>
      </c>
      <c r="E5" s="3" t="b">
        <v>0</v>
      </c>
      <c r="F5" s="3" t="b">
        <v>0</v>
      </c>
      <c r="G5" s="7" t="s">
        <v>204</v>
      </c>
      <c r="H5">
        <v>3</v>
      </c>
      <c r="J5" s="16"/>
      <c r="K5" s="16"/>
      <c r="L5" s="16"/>
      <c r="M5" s="16"/>
      <c r="N5" s="16"/>
      <c r="O5" s="16"/>
      <c r="P5" s="16"/>
    </row>
    <row r="6" spans="1:16" ht="29.5" x14ac:dyDescent="0.75">
      <c r="B6" s="1" t="s">
        <v>59</v>
      </c>
      <c r="C6" s="3" t="b">
        <v>0</v>
      </c>
      <c r="D6" s="3" t="b">
        <v>1</v>
      </c>
      <c r="E6" s="3" t="b">
        <v>0</v>
      </c>
      <c r="F6" s="3" t="b">
        <v>0</v>
      </c>
      <c r="G6" s="7" t="s">
        <v>216</v>
      </c>
      <c r="H6">
        <v>3</v>
      </c>
      <c r="J6" s="16"/>
      <c r="K6" s="16"/>
      <c r="L6" s="16"/>
      <c r="M6" s="16"/>
      <c r="N6" s="16"/>
      <c r="O6" s="16"/>
      <c r="P6" s="16"/>
    </row>
    <row r="7" spans="1:16" x14ac:dyDescent="0.75">
      <c r="B7" s="1" t="s">
        <v>61</v>
      </c>
      <c r="C7" s="3" t="b">
        <v>1</v>
      </c>
      <c r="D7" s="3" t="b">
        <v>0</v>
      </c>
      <c r="E7" s="3" t="b">
        <v>0</v>
      </c>
      <c r="F7" s="3" t="b">
        <v>0</v>
      </c>
      <c r="G7" s="7" t="s">
        <v>204</v>
      </c>
      <c r="H7">
        <v>3</v>
      </c>
      <c r="J7" s="16"/>
      <c r="K7" s="16"/>
      <c r="L7" s="16"/>
      <c r="M7" s="16"/>
      <c r="N7" s="16"/>
      <c r="O7" s="16"/>
      <c r="P7" s="16"/>
    </row>
    <row r="8" spans="1:16" x14ac:dyDescent="0.75">
      <c r="B8" s="1" t="s">
        <v>71</v>
      </c>
      <c r="C8" s="3" t="b">
        <v>0</v>
      </c>
      <c r="D8" s="3" t="b">
        <v>0</v>
      </c>
      <c r="E8" s="3" t="b">
        <v>1</v>
      </c>
      <c r="F8" s="3" t="b">
        <v>0</v>
      </c>
      <c r="G8" s="7" t="s">
        <v>217</v>
      </c>
      <c r="H8">
        <v>3</v>
      </c>
      <c r="J8" s="16"/>
      <c r="K8" s="16"/>
      <c r="L8" s="16"/>
      <c r="M8" s="16"/>
      <c r="N8" s="16"/>
      <c r="O8" s="16"/>
      <c r="P8" s="16"/>
    </row>
    <row r="9" spans="1:16" x14ac:dyDescent="0.75">
      <c r="B9" s="1" t="s">
        <v>72</v>
      </c>
      <c r="C9" s="3" t="b">
        <v>1</v>
      </c>
      <c r="D9" s="3" t="b">
        <v>0</v>
      </c>
      <c r="E9" s="3" t="b">
        <v>0</v>
      </c>
      <c r="F9" s="3" t="b">
        <v>0</v>
      </c>
      <c r="G9" s="7" t="s">
        <v>204</v>
      </c>
      <c r="H9">
        <v>3</v>
      </c>
      <c r="J9" s="16"/>
      <c r="K9" s="16"/>
      <c r="L9" s="16"/>
      <c r="M9" s="16"/>
      <c r="N9" s="16"/>
      <c r="O9" s="16"/>
      <c r="P9" s="16"/>
    </row>
    <row r="10" spans="1:16" ht="29.5" x14ac:dyDescent="0.75">
      <c r="B10" s="1" t="s">
        <v>87</v>
      </c>
      <c r="C10" s="3" t="b">
        <v>1</v>
      </c>
      <c r="D10" s="3" t="b">
        <v>0</v>
      </c>
      <c r="E10" s="3" t="b">
        <v>0</v>
      </c>
      <c r="F10" s="3" t="b">
        <v>0</v>
      </c>
      <c r="G10" s="7" t="s">
        <v>204</v>
      </c>
      <c r="H10">
        <v>3</v>
      </c>
      <c r="J10" s="16"/>
      <c r="K10" s="16"/>
      <c r="L10" s="16"/>
      <c r="M10" s="16"/>
      <c r="N10" s="16"/>
      <c r="O10" s="16"/>
      <c r="P10" s="16"/>
    </row>
    <row r="11" spans="1:16" ht="29.5" x14ac:dyDescent="0.75">
      <c r="A11" t="s">
        <v>239</v>
      </c>
      <c r="B11" s="12" t="s">
        <v>88</v>
      </c>
      <c r="C11" s="3" t="b">
        <v>0</v>
      </c>
      <c r="D11" s="3" t="s">
        <v>234</v>
      </c>
      <c r="E11" s="3" t="b">
        <v>0</v>
      </c>
      <c r="F11" s="3" t="b">
        <v>0</v>
      </c>
      <c r="G11" s="7" t="s">
        <v>216</v>
      </c>
      <c r="H11">
        <v>3</v>
      </c>
      <c r="J11" s="16"/>
      <c r="K11" s="16"/>
      <c r="L11" s="16"/>
      <c r="M11" s="16"/>
      <c r="N11" s="16"/>
      <c r="O11" s="16"/>
      <c r="P11" s="16"/>
    </row>
    <row r="12" spans="1:16" x14ac:dyDescent="0.75">
      <c r="B12" s="1" t="s">
        <v>89</v>
      </c>
      <c r="C12" s="3" t="b">
        <v>1</v>
      </c>
      <c r="D12" s="3" t="b">
        <v>0</v>
      </c>
      <c r="E12" s="3" t="b">
        <v>0</v>
      </c>
      <c r="F12" s="3" t="b">
        <v>0</v>
      </c>
      <c r="G12" s="7" t="s">
        <v>204</v>
      </c>
      <c r="H12">
        <v>3</v>
      </c>
      <c r="J12" s="16"/>
      <c r="K12" s="16"/>
      <c r="L12" s="16"/>
      <c r="M12" s="16"/>
      <c r="N12" s="16"/>
      <c r="O12" s="16"/>
      <c r="P12" s="16"/>
    </row>
    <row r="13" spans="1:16" x14ac:dyDescent="0.75">
      <c r="B13" s="1" t="s">
        <v>106</v>
      </c>
      <c r="C13" s="3" t="b">
        <v>0</v>
      </c>
      <c r="D13" s="3" t="b">
        <v>0</v>
      </c>
      <c r="E13" s="3" t="b">
        <v>1</v>
      </c>
      <c r="F13" s="3" t="b">
        <v>0</v>
      </c>
      <c r="G13" s="7" t="s">
        <v>205</v>
      </c>
      <c r="H13">
        <v>3</v>
      </c>
      <c r="J13" s="16"/>
      <c r="K13" s="16"/>
      <c r="L13" s="16"/>
      <c r="M13" s="16"/>
      <c r="N13" s="16"/>
      <c r="O13" s="16"/>
      <c r="P13" s="16"/>
    </row>
    <row r="14" spans="1:16" ht="29.5" x14ac:dyDescent="0.75">
      <c r="B14" s="1" t="s">
        <v>109</v>
      </c>
      <c r="C14" s="3" t="b">
        <v>0</v>
      </c>
      <c r="D14" s="3" t="b">
        <v>1</v>
      </c>
      <c r="E14" s="3" t="b">
        <v>0</v>
      </c>
      <c r="F14" s="3" t="b">
        <v>0</v>
      </c>
      <c r="G14" s="7" t="s">
        <v>216</v>
      </c>
      <c r="H14">
        <v>3</v>
      </c>
      <c r="J14" s="16"/>
      <c r="K14" s="16"/>
      <c r="L14" s="16"/>
      <c r="M14" s="16"/>
      <c r="N14" s="16"/>
      <c r="O14" s="16"/>
      <c r="P14" s="16"/>
    </row>
    <row r="15" spans="1:16" ht="29.5" x14ac:dyDescent="0.75">
      <c r="B15" s="1" t="s">
        <v>116</v>
      </c>
      <c r="C15" s="3" t="b">
        <v>0</v>
      </c>
      <c r="D15" s="3" t="b">
        <v>1</v>
      </c>
      <c r="E15" s="3" t="b">
        <v>0</v>
      </c>
      <c r="F15" s="3" t="b">
        <v>0</v>
      </c>
      <c r="G15" s="7" t="s">
        <v>216</v>
      </c>
      <c r="H15">
        <v>3</v>
      </c>
      <c r="J15" s="16"/>
      <c r="K15" s="16"/>
      <c r="L15" s="16"/>
      <c r="M15" s="16"/>
      <c r="N15" s="16"/>
      <c r="O15" s="16"/>
      <c r="P15" s="16"/>
    </row>
    <row r="16" spans="1:16" x14ac:dyDescent="0.75">
      <c r="B16" s="1" t="s">
        <v>123</v>
      </c>
      <c r="C16" s="3" t="b">
        <v>1</v>
      </c>
      <c r="D16" s="3" t="b">
        <v>0</v>
      </c>
      <c r="E16" s="3" t="b">
        <v>0</v>
      </c>
      <c r="F16" s="3" t="b">
        <v>0</v>
      </c>
      <c r="G16" s="7" t="s">
        <v>204</v>
      </c>
      <c r="H16">
        <v>3</v>
      </c>
      <c r="J16" s="16"/>
      <c r="K16" s="16"/>
      <c r="L16" s="16"/>
      <c r="M16" s="16"/>
      <c r="N16" s="16"/>
      <c r="O16" s="16"/>
      <c r="P16" s="16"/>
    </row>
    <row r="17" spans="1:16" x14ac:dyDescent="0.75">
      <c r="B17" s="1" t="s">
        <v>124</v>
      </c>
      <c r="C17" s="3" t="b">
        <v>1</v>
      </c>
      <c r="D17" s="3" t="b">
        <v>0</v>
      </c>
      <c r="E17" s="3" t="b">
        <v>0</v>
      </c>
      <c r="F17" s="3" t="b">
        <v>0</v>
      </c>
      <c r="G17" s="7" t="s">
        <v>204</v>
      </c>
      <c r="H17">
        <v>3</v>
      </c>
      <c r="J17" s="16"/>
      <c r="K17" s="16"/>
      <c r="L17" s="16"/>
      <c r="M17" s="16"/>
      <c r="N17" s="16"/>
      <c r="O17" s="16"/>
      <c r="P17" s="16"/>
    </row>
    <row r="18" spans="1:16" x14ac:dyDescent="0.75">
      <c r="B18" s="1" t="s">
        <v>127</v>
      </c>
      <c r="C18" s="3" t="b">
        <v>1</v>
      </c>
      <c r="D18" s="3" t="b">
        <v>0</v>
      </c>
      <c r="E18" s="3" t="b">
        <v>0</v>
      </c>
      <c r="F18" s="3" t="b">
        <v>0</v>
      </c>
      <c r="G18" s="7" t="s">
        <v>204</v>
      </c>
      <c r="H18">
        <v>3</v>
      </c>
      <c r="J18" s="16"/>
      <c r="K18" s="16"/>
      <c r="L18" s="16"/>
      <c r="M18" s="16"/>
      <c r="N18" s="16"/>
      <c r="O18" s="16"/>
      <c r="P18" s="16"/>
    </row>
    <row r="19" spans="1:16" x14ac:dyDescent="0.75">
      <c r="B19" s="1" t="s">
        <v>129</v>
      </c>
      <c r="C19" s="3" t="b">
        <v>1</v>
      </c>
      <c r="D19" s="3" t="b">
        <v>0</v>
      </c>
      <c r="E19" s="3" t="b">
        <v>0</v>
      </c>
      <c r="F19" s="3" t="b">
        <v>0</v>
      </c>
      <c r="G19" s="8" t="s">
        <v>204</v>
      </c>
      <c r="H19">
        <v>3</v>
      </c>
      <c r="J19" s="16"/>
      <c r="K19" s="16"/>
      <c r="L19" s="16"/>
      <c r="M19" s="16"/>
      <c r="N19" s="16"/>
      <c r="O19" s="16"/>
      <c r="P19" s="16"/>
    </row>
    <row r="20" spans="1:16" ht="29.5" x14ac:dyDescent="0.75">
      <c r="B20" s="1" t="s">
        <v>135</v>
      </c>
      <c r="C20" s="3" t="b">
        <v>0</v>
      </c>
      <c r="D20" s="3" t="b">
        <v>0</v>
      </c>
      <c r="E20" s="3" t="b">
        <v>1</v>
      </c>
      <c r="F20" s="3" t="b">
        <v>0</v>
      </c>
      <c r="G20" s="7" t="s">
        <v>218</v>
      </c>
      <c r="H20">
        <v>3</v>
      </c>
      <c r="J20" s="16"/>
      <c r="K20" s="16"/>
      <c r="L20" s="16"/>
      <c r="M20" s="16"/>
      <c r="N20" s="16"/>
      <c r="O20" s="16"/>
      <c r="P20" s="16"/>
    </row>
    <row r="21" spans="1:16" x14ac:dyDescent="0.75">
      <c r="B21" s="1" t="s">
        <v>145</v>
      </c>
      <c r="C21" s="3" t="b">
        <v>0</v>
      </c>
      <c r="D21" s="3" t="b">
        <v>0</v>
      </c>
      <c r="E21" s="3" t="b">
        <v>1</v>
      </c>
      <c r="F21" s="3" t="b">
        <v>0</v>
      </c>
      <c r="G21" s="7" t="s">
        <v>205</v>
      </c>
      <c r="H21">
        <v>3</v>
      </c>
      <c r="J21" s="16"/>
      <c r="K21" s="16"/>
      <c r="L21" s="16"/>
      <c r="M21" s="16"/>
      <c r="N21" s="16"/>
      <c r="O21" s="16"/>
      <c r="P21" s="16"/>
    </row>
    <row r="22" spans="1:16" x14ac:dyDescent="0.75">
      <c r="B22" s="1" t="s">
        <v>151</v>
      </c>
      <c r="C22" s="3" t="b">
        <v>1</v>
      </c>
      <c r="D22" s="3" t="b">
        <v>0</v>
      </c>
      <c r="E22" s="3" t="b">
        <v>0</v>
      </c>
      <c r="F22" s="3" t="b">
        <v>0</v>
      </c>
      <c r="G22" s="7" t="s">
        <v>204</v>
      </c>
      <c r="H22">
        <v>3</v>
      </c>
      <c r="J22" s="16"/>
      <c r="K22" s="16"/>
      <c r="L22" s="16"/>
      <c r="M22" s="16"/>
      <c r="N22" s="16"/>
      <c r="O22" s="16"/>
      <c r="P22" s="16"/>
    </row>
    <row r="23" spans="1:16" x14ac:dyDescent="0.75">
      <c r="B23" s="1" t="s">
        <v>153</v>
      </c>
      <c r="C23" s="3" t="b">
        <v>1</v>
      </c>
      <c r="D23" s="3" t="b">
        <v>0</v>
      </c>
      <c r="E23" s="3" t="b">
        <v>0</v>
      </c>
      <c r="F23" s="3" t="b">
        <v>0</v>
      </c>
      <c r="G23" s="7" t="s">
        <v>204</v>
      </c>
      <c r="H23">
        <v>3</v>
      </c>
      <c r="J23" s="16"/>
      <c r="K23" s="16"/>
      <c r="L23" s="16"/>
      <c r="M23" s="16"/>
      <c r="N23" s="16"/>
      <c r="O23" s="16"/>
      <c r="P23" s="16"/>
    </row>
    <row r="24" spans="1:16" x14ac:dyDescent="0.75">
      <c r="B24" s="1" t="s">
        <v>158</v>
      </c>
      <c r="C24" s="3" t="b">
        <v>1</v>
      </c>
      <c r="D24" s="3" t="b">
        <v>0</v>
      </c>
      <c r="E24" s="3" t="b">
        <v>0</v>
      </c>
      <c r="F24" s="3" t="b">
        <v>0</v>
      </c>
      <c r="G24" s="7" t="s">
        <v>204</v>
      </c>
      <c r="H24">
        <v>3</v>
      </c>
      <c r="J24" s="16"/>
      <c r="K24" s="16"/>
      <c r="L24" s="16"/>
      <c r="M24" s="16"/>
      <c r="N24" s="16"/>
      <c r="O24" s="16"/>
      <c r="P24" s="16"/>
    </row>
    <row r="25" spans="1:16" x14ac:dyDescent="0.75">
      <c r="A25" t="s">
        <v>239</v>
      </c>
      <c r="B25" s="4" t="s">
        <v>162</v>
      </c>
      <c r="C25" s="3" t="b">
        <v>0</v>
      </c>
      <c r="D25" s="3" t="b">
        <v>0</v>
      </c>
      <c r="E25" s="3" t="b">
        <v>0</v>
      </c>
      <c r="F25" s="3" t="b">
        <v>0</v>
      </c>
      <c r="G25" s="7"/>
      <c r="H25">
        <v>3</v>
      </c>
      <c r="J25" s="16"/>
      <c r="K25" s="16"/>
      <c r="L25" s="16"/>
      <c r="M25" s="16"/>
      <c r="N25" s="16"/>
      <c r="O25" s="16"/>
      <c r="P25" s="16"/>
    </row>
    <row r="26" spans="1:16" x14ac:dyDescent="0.75">
      <c r="B26" s="1" t="s">
        <v>163</v>
      </c>
      <c r="C26" s="3" t="b">
        <v>1</v>
      </c>
      <c r="D26" s="3" t="b">
        <v>0</v>
      </c>
      <c r="E26" s="3" t="b">
        <v>0</v>
      </c>
      <c r="F26" s="3" t="b">
        <v>0</v>
      </c>
      <c r="G26" s="7" t="s">
        <v>204</v>
      </c>
      <c r="H26">
        <v>3</v>
      </c>
      <c r="J26" s="16"/>
      <c r="K26" s="16"/>
      <c r="L26" s="16"/>
      <c r="M26" s="16"/>
      <c r="N26" s="16"/>
      <c r="O26" s="16"/>
      <c r="P26" s="16"/>
    </row>
    <row r="27" spans="1:16" ht="29.5" x14ac:dyDescent="0.75">
      <c r="B27" s="1" t="s">
        <v>164</v>
      </c>
      <c r="C27" s="3" t="b">
        <v>0</v>
      </c>
      <c r="D27" s="3" t="b">
        <v>1</v>
      </c>
      <c r="E27" s="3" t="b">
        <v>0</v>
      </c>
      <c r="F27" s="3" t="b">
        <v>0</v>
      </c>
      <c r="G27" s="7" t="s">
        <v>216</v>
      </c>
      <c r="H27">
        <v>3</v>
      </c>
      <c r="J27" t="s">
        <v>231</v>
      </c>
      <c r="K27" t="s">
        <v>232</v>
      </c>
    </row>
    <row r="28" spans="1:16" ht="29.5" x14ac:dyDescent="0.75">
      <c r="B28" s="1" t="s">
        <v>165</v>
      </c>
      <c r="C28" s="3" t="b">
        <v>0</v>
      </c>
      <c r="D28" s="3" t="b">
        <v>1</v>
      </c>
      <c r="E28" s="3" t="b">
        <v>0</v>
      </c>
      <c r="F28" s="3" t="b">
        <v>0</v>
      </c>
      <c r="G28" s="7" t="s">
        <v>216</v>
      </c>
      <c r="H28">
        <v>3</v>
      </c>
    </row>
    <row r="29" spans="1:16" x14ac:dyDescent="0.75">
      <c r="G29" s="7"/>
    </row>
    <row r="30" spans="1:16" x14ac:dyDescent="0.75">
      <c r="G30" s="7"/>
    </row>
    <row r="31" spans="1:16" x14ac:dyDescent="0.75">
      <c r="G31" s="7"/>
    </row>
    <row r="32" spans="1:16" x14ac:dyDescent="0.75">
      <c r="G32" s="7"/>
    </row>
    <row r="33" spans="3:7" x14ac:dyDescent="0.75">
      <c r="G33" s="7"/>
    </row>
    <row r="34" spans="3:7" x14ac:dyDescent="0.75">
      <c r="C34">
        <f>COUNTIF(C3:C31, TRUE)</f>
        <v>14</v>
      </c>
      <c r="D34">
        <f t="shared" ref="D34:F34" si="0">COUNTIF(D3:D31, TRUE)</f>
        <v>6</v>
      </c>
      <c r="E34">
        <f t="shared" si="0"/>
        <v>4</v>
      </c>
      <c r="F34">
        <f t="shared" si="0"/>
        <v>0</v>
      </c>
      <c r="G34" s="7">
        <f>SUM(C34:F34)</f>
        <v>24</v>
      </c>
    </row>
  </sheetData>
  <mergeCells count="1">
    <mergeCell ref="J3:P26"/>
  </mergeCells>
  <conditionalFormatting sqref="H3:H28">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D4DF-40E6-404B-96AC-73A1A2C56F21}">
  <dimension ref="A1:F17"/>
  <sheetViews>
    <sheetView tabSelected="1" zoomScale="112" workbookViewId="0">
      <selection activeCell="H9" sqref="H9"/>
    </sheetView>
  </sheetViews>
  <sheetFormatPr defaultRowHeight="14.75" x14ac:dyDescent="0.75"/>
  <cols>
    <col min="1" max="1" width="10.2265625" customWidth="1"/>
  </cols>
  <sheetData>
    <row r="1" spans="1:6" x14ac:dyDescent="0.75">
      <c r="A1" t="s">
        <v>192</v>
      </c>
      <c r="B1" t="s">
        <v>237</v>
      </c>
      <c r="C1" t="s">
        <v>201</v>
      </c>
      <c r="D1" t="s">
        <v>202</v>
      </c>
      <c r="E1" t="s">
        <v>203</v>
      </c>
    </row>
    <row r="2" spans="1:6" x14ac:dyDescent="0.75">
      <c r="A2" t="s">
        <v>187</v>
      </c>
      <c r="B2">
        <f>'Not on the same planet'!C33</f>
        <v>7</v>
      </c>
      <c r="C2">
        <f>'Not on the same planet'!D33</f>
        <v>5</v>
      </c>
      <c r="D2">
        <f>'Not on the same planet'!E33</f>
        <v>9</v>
      </c>
      <c r="E2">
        <f>'Not on the same planet'!F33</f>
        <v>3</v>
      </c>
    </row>
    <row r="3" spans="1:6" x14ac:dyDescent="0.75">
      <c r="A3" t="s">
        <v>188</v>
      </c>
      <c r="B3">
        <f>'you only live once'!C33</f>
        <v>7</v>
      </c>
      <c r="C3">
        <f>'you only live once'!D33</f>
        <v>14</v>
      </c>
      <c r="D3">
        <f>'you only live once'!E33</f>
        <v>3</v>
      </c>
      <c r="E3">
        <f>'you only live once'!F33</f>
        <v>0</v>
      </c>
    </row>
    <row r="4" spans="1:6" x14ac:dyDescent="0.75">
      <c r="A4" t="s">
        <v>189</v>
      </c>
      <c r="B4">
        <f>'pluto demotion'!C34</f>
        <v>14</v>
      </c>
      <c r="C4">
        <f>'pluto demotion'!D34</f>
        <v>2</v>
      </c>
      <c r="D4">
        <f>'pluto demotion'!E34</f>
        <v>5</v>
      </c>
      <c r="E4">
        <f>'pluto demotion'!F34</f>
        <v>3</v>
      </c>
    </row>
    <row r="5" spans="1:6" x14ac:dyDescent="0.75">
      <c r="A5" t="s">
        <v>190</v>
      </c>
      <c r="B5">
        <f>'save the planet'!C34</f>
        <v>15</v>
      </c>
      <c r="C5">
        <f>'save the planet'!D34</f>
        <v>5</v>
      </c>
      <c r="D5">
        <f>'save the planet'!E34</f>
        <v>3</v>
      </c>
      <c r="E5">
        <f>'save the planet'!F34</f>
        <v>1</v>
      </c>
    </row>
    <row r="6" spans="1:6" x14ac:dyDescent="0.75">
      <c r="A6" t="s">
        <v>191</v>
      </c>
      <c r="B6">
        <f>'london is lonely '!C34</f>
        <v>14</v>
      </c>
      <c r="C6">
        <f>'london is lonely '!D34</f>
        <v>6</v>
      </c>
      <c r="D6">
        <f>'london is lonely '!E34</f>
        <v>4</v>
      </c>
      <c r="E6">
        <f>'london is lonely '!F34</f>
        <v>0</v>
      </c>
    </row>
    <row r="8" spans="1:6" x14ac:dyDescent="0.75">
      <c r="A8" t="s">
        <v>193</v>
      </c>
      <c r="B8" t="s">
        <v>237</v>
      </c>
      <c r="C8" t="s">
        <v>201</v>
      </c>
      <c r="D8" t="s">
        <v>202</v>
      </c>
      <c r="E8" t="s">
        <v>203</v>
      </c>
    </row>
    <row r="9" spans="1:6" x14ac:dyDescent="0.75">
      <c r="A9" t="s">
        <v>193</v>
      </c>
      <c r="B9">
        <f>SUM(Table6[PAR])</f>
        <v>57</v>
      </c>
      <c r="C9">
        <f>SUM(Table6[SIT])</f>
        <v>32</v>
      </c>
      <c r="D9">
        <f>SUM(Table6[INF])</f>
        <v>24</v>
      </c>
      <c r="E9">
        <f>SUM(Table6[EVA])</f>
        <v>7</v>
      </c>
    </row>
    <row r="11" spans="1:6" x14ac:dyDescent="0.75">
      <c r="A11" t="s">
        <v>192</v>
      </c>
      <c r="B11" t="s">
        <v>237</v>
      </c>
      <c r="C11" t="s">
        <v>201</v>
      </c>
      <c r="D11" t="s">
        <v>202</v>
      </c>
      <c r="E11" t="s">
        <v>203</v>
      </c>
      <c r="F11" t="s">
        <v>193</v>
      </c>
    </row>
    <row r="12" spans="1:6" x14ac:dyDescent="0.75">
      <c r="A12" t="s">
        <v>187</v>
      </c>
      <c r="B12" s="5">
        <f>B2/Table69[[#This Row],[totals]]</f>
        <v>0.29166666666666669</v>
      </c>
      <c r="C12" s="5">
        <f>C2/Table69[[#This Row],[totals]]</f>
        <v>0.20833333333333334</v>
      </c>
      <c r="D12" s="5">
        <f>D2/Table69[[#This Row],[totals]]</f>
        <v>0.375</v>
      </c>
      <c r="E12" s="5">
        <f>E2/Table69[[#This Row],[totals]]</f>
        <v>0.125</v>
      </c>
      <c r="F12" s="9">
        <f>SUM(B2:E2)</f>
        <v>24</v>
      </c>
    </row>
    <row r="13" spans="1:6" x14ac:dyDescent="0.75">
      <c r="A13" t="s">
        <v>188</v>
      </c>
      <c r="B13" s="5">
        <f>B3/Table69[[#This Row],[totals]]</f>
        <v>0.29166666666666669</v>
      </c>
      <c r="C13" s="5">
        <f>C3/Table69[[#This Row],[totals]]</f>
        <v>0.58333333333333337</v>
      </c>
      <c r="D13" s="5">
        <f>D3/Table69[[#This Row],[totals]]</f>
        <v>0.125</v>
      </c>
      <c r="E13" s="5">
        <f>E3/Table69[[#This Row],[totals]]</f>
        <v>0</v>
      </c>
      <c r="F13" s="9">
        <f t="shared" ref="F13:F16" si="0">SUM(B3:E3)</f>
        <v>24</v>
      </c>
    </row>
    <row r="14" spans="1:6" x14ac:dyDescent="0.75">
      <c r="A14" t="s">
        <v>189</v>
      </c>
      <c r="B14" s="5">
        <f>B4/Table69[[#This Row],[totals]]</f>
        <v>0.58333333333333337</v>
      </c>
      <c r="C14" s="5">
        <f>C4/Table69[[#This Row],[totals]]</f>
        <v>8.3333333333333329E-2</v>
      </c>
      <c r="D14" s="5">
        <f>D4/Table69[[#This Row],[totals]]</f>
        <v>0.20833333333333334</v>
      </c>
      <c r="E14" s="5">
        <f>E4/Table69[[#This Row],[totals]]</f>
        <v>0.125</v>
      </c>
      <c r="F14" s="9">
        <f t="shared" si="0"/>
        <v>24</v>
      </c>
    </row>
    <row r="15" spans="1:6" x14ac:dyDescent="0.75">
      <c r="A15" t="s">
        <v>190</v>
      </c>
      <c r="B15" s="5">
        <f>B5/Table69[[#This Row],[totals]]</f>
        <v>0.625</v>
      </c>
      <c r="C15" s="5">
        <f>C5/Table69[[#This Row],[totals]]</f>
        <v>0.20833333333333334</v>
      </c>
      <c r="D15" s="5">
        <f>D5/Table69[[#This Row],[totals]]</f>
        <v>0.125</v>
      </c>
      <c r="E15" s="5">
        <f>E5/Table69[[#This Row],[totals]]</f>
        <v>4.1666666666666664E-2</v>
      </c>
      <c r="F15" s="9">
        <f t="shared" si="0"/>
        <v>24</v>
      </c>
    </row>
    <row r="16" spans="1:6" x14ac:dyDescent="0.75">
      <c r="A16" t="s">
        <v>191</v>
      </c>
      <c r="B16" s="5">
        <f>B6/Table69[[#This Row],[totals]]</f>
        <v>0.58333333333333337</v>
      </c>
      <c r="C16" s="5">
        <f>C6/Table69[[#This Row],[totals]]</f>
        <v>0.25</v>
      </c>
      <c r="D16" s="5">
        <f>D6/Table69[[#This Row],[totals]]</f>
        <v>0.16666666666666666</v>
      </c>
      <c r="E16" s="5">
        <f>E6/Table69[[#This Row],[totals]]</f>
        <v>0</v>
      </c>
      <c r="F16" s="9">
        <f t="shared" si="0"/>
        <v>24</v>
      </c>
    </row>
    <row r="17" spans="5:5" x14ac:dyDescent="0.75">
      <c r="E17" s="5"/>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Not on the same planet</vt:lpstr>
      <vt:lpstr>you only live once</vt:lpstr>
      <vt:lpstr>pluto demotion</vt:lpstr>
      <vt:lpstr>save the planet</vt:lpstr>
      <vt:lpstr>london is lonely </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2024-12-11T12:27:00Z</dcterms:created>
  <dcterms:modified xsi:type="dcterms:W3CDTF">2025-11-05T16:58:41Z</dcterms:modified>
</cp:coreProperties>
</file>