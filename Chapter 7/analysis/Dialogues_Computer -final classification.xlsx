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https://d.docs.live.net/44ea4a75fd0232a7/PhD/Planning/Chapters and Drafts/7. Empirical Propositions/Chapter 7/analysis/"/>
    </mc:Choice>
  </mc:AlternateContent>
  <xr:revisionPtr revIDLastSave="1331" documentId="11_F267713B2E70AE8A668A014AD90517700F268DEA" xr6:coauthVersionLast="47" xr6:coauthVersionMax="47" xr10:uidLastSave="{BA1D27E1-A58C-47CD-809A-BB44606DAC7B}"/>
  <bookViews>
    <workbookView xWindow="-90" yWindow="-90" windowWidth="19380" windowHeight="10260" firstSheet="4" activeTab="5" xr2:uid="{00000000-000D-0000-FFFF-FFFF00000000}"/>
  </bookViews>
  <sheets>
    <sheet name="Sheet0" sheetId="1" r:id="rId1"/>
    <sheet name="Find it on the computer..." sheetId="2" r:id="rId2"/>
    <sheet name="Inputting grades..." sheetId="3" r:id="rId3"/>
    <sheet name="play against computer..." sheetId="4" r:id="rId4"/>
    <sheet name="need a new computer..." sheetId="5" r:id="rId5"/>
    <sheet name="Don't keep anything on..." sheetId="6" r:id="rId6"/>
    <sheet name="Overview" sheetId="7" r:id="rId7"/>
  </sheets>
  <definedNames>
    <definedName name="_xlnm._FilterDatabase" localSheetId="0" hidden="1">Sheet0!$A$2:$H$265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4" i="6" l="1"/>
  <c r="E6" i="7" s="1"/>
  <c r="E34" i="6"/>
  <c r="D6" i="7" s="1"/>
  <c r="D34" i="6"/>
  <c r="C6" i="7" s="1"/>
  <c r="C34" i="6"/>
  <c r="B6" i="7" s="1"/>
  <c r="F34" i="5"/>
  <c r="E5" i="7" s="1"/>
  <c r="E34" i="5"/>
  <c r="D5" i="7" s="1"/>
  <c r="D34" i="5"/>
  <c r="C5" i="7" s="1"/>
  <c r="C34" i="5"/>
  <c r="B5" i="7" s="1"/>
  <c r="F34" i="4"/>
  <c r="E34" i="4"/>
  <c r="D4" i="7" s="1"/>
  <c r="D34" i="4"/>
  <c r="C4" i="7" s="1"/>
  <c r="C34" i="4"/>
  <c r="B4" i="7" s="1"/>
  <c r="F35" i="3"/>
  <c r="E3" i="7" s="1"/>
  <c r="E35" i="3"/>
  <c r="D3" i="7" s="1"/>
  <c r="D35" i="3"/>
  <c r="C3" i="7" s="1"/>
  <c r="C35" i="3"/>
  <c r="B3" i="7" s="1"/>
  <c r="D34" i="2"/>
  <c r="C2" i="7" s="1"/>
  <c r="E34" i="2"/>
  <c r="D2" i="7" s="1"/>
  <c r="F34" i="2"/>
  <c r="E2" i="7" s="1"/>
  <c r="C34" i="2"/>
  <c r="B2" i="7" s="1"/>
  <c r="G34" i="2" l="1"/>
  <c r="G34" i="6"/>
  <c r="F23" i="7"/>
  <c r="B23" i="7" s="1"/>
  <c r="G34" i="5"/>
  <c r="F22" i="7"/>
  <c r="B22" i="7"/>
  <c r="G34" i="4"/>
  <c r="E4" i="7"/>
  <c r="F21" i="7" s="1"/>
  <c r="D21" i="7" s="1"/>
  <c r="F20" i="7"/>
  <c r="F19" i="7"/>
  <c r="D14" i="7"/>
  <c r="C14" i="7"/>
  <c r="B14" i="7"/>
  <c r="C23" i="7" l="1"/>
  <c r="D23" i="7"/>
  <c r="E23" i="7"/>
  <c r="D22" i="7"/>
  <c r="E22" i="7"/>
  <c r="C22" i="7"/>
  <c r="E14" i="7"/>
  <c r="B21" i="7"/>
  <c r="E21" i="7"/>
  <c r="C21" i="7"/>
  <c r="C20" i="7"/>
  <c r="D20" i="7"/>
  <c r="B20" i="7"/>
  <c r="E20" i="7"/>
  <c r="D19" i="7"/>
  <c r="E19" i="7"/>
  <c r="B19" i="7"/>
  <c r="C19" i="7"/>
</calcChain>
</file>

<file path=xl/sharedStrings.xml><?xml version="1.0" encoding="utf-8"?>
<sst xmlns="http://schemas.openxmlformats.org/spreadsheetml/2006/main" count="2449" uniqueCount="267">
  <si>
    <t>Q4</t>
  </si>
  <si>
    <t>Q5</t>
  </si>
  <si>
    <t>Q15</t>
  </si>
  <si>
    <t>QID112</t>
  </si>
  <si>
    <t>QID103</t>
  </si>
  <si>
    <t>QID94</t>
  </si>
  <si>
    <t>QID84</t>
  </si>
  <si>
    <t>QID23</t>
  </si>
  <si>
    <t>What is your age?</t>
  </si>
  <si>
    <t>What is your highest level of education?</t>
  </si>
  <si>
    <t>Please select the domain that best describes your current occupation:</t>
  </si>
  <si>
    <t>Alison, Carol, and Brian are discussing their recent holiday:
Alison: Which country is it close to?
Brian: Er oh dear. I really don't know dear I'm not that well up on that part of Europe.
Alison: Right, we'll have to get an atlas.
Carol: Steve might have it, he'll get it on the-
Brian: Oh on the-
Carol: Computer I can show you where it is.
Brian: Tablet yeah.
Alison: You can get it on the computer easily.
Brian: Mm.
What do you think is conveyed by Alison in the underlined text?</t>
  </si>
  <si>
    <t>Becca and Uma are discussing Uma's job as a teacher:
Becca: What was that last semester?
Uma: I had erm yeah about seventeen.
Becca: What, two thousand words?
Uma: Yeah.
Becca: Oh my god.
Uma: Had about seventy-five to mark.
Becca: Mmm.
Uma: Plus individual comments for each one.
Becca: Mmm.
Uma: Plus then putting the grades into the computer.
Becca: Mmm oh.
What do you think is conveyed by Uma in the underlined text?</t>
  </si>
  <si>
    <t>Stephen and Wade are discussing gaming:
Stephen: Did you say you were gonna show me chess?
Wade: Yes, er, Chinese chess, yeah.
Stephen: You've got the actual board, haven't you?
Wade: Yeah, I've got the board, yeah, but it'll be easier to show you on the iPad.
Stephen: Why is that?
Wade: Because you can keep going backwards and forwards and showing... it'll take the move back and it'll show you how it's moving.
Stephen: Oh, okay.
Wade: I mean, I can show you physically, but you'll see it on that 'cos it's easier.
Stephen: Okay, give it a try... You say you can win against the computer sometimes?
Wade: I can easy. I've only ever beaten it once at normal, probably over about five hundred games.
Stephen: Do we, on the iPad, do we play against each other then, or what?
Wade: No, you play against the computer.
What do you think is conveyed by Wade in the underlined text?</t>
  </si>
  <si>
    <t>Lucy and Dave are discussing technology:
Lucy: How much space have you got on yours?
Dave: Hm, don't know.
Lucy: Is it on now?
Dave: How much space do I need?
Lucy: Erm, I don't know. I guess my music comes to—
Dave: But then it's annoying because you can't listen to music and do stuff on the computer at the same time. We need another computer.
Lucy: You'll probably need about fifty-sixty gigs.
Dave: Fifty-sixty gigs.
Lucy: It's a guess.
What do you think is conveyed by Dave in the underlined text?</t>
  </si>
  <si>
    <t>Steph and Marco are discussing technology:
Steph: I've got all my, all my documents are on the... er... two shilabyte? trialabyte? trilabyte?
Marco: Terabyte.
Steph: Two terabyte, terabyte.
Marco: Two terabytes.
Steph: External drive. I've got buy-one-get-one-free from Maplins.
Marco: Yeah.
Steph: And I really ought to copy that onto... I've got none of the other one, the free one.
Marco: No, if you've got one, that's fine.
Steph: No, but if that goes tits up...
Marco: Well, how many copy backups do you need? People only have one backup.
Steph: The external drive is my drive, it's not on the computer. I don't keep anything on the computer.
Marco: Why not?
Steph: I'm jolly lucky, cos if it had been all on the computer, I would have nothing now.
What do you think is conveyed by Steph in the underlined text?</t>
  </si>
  <si>
    <t>45 - 54</t>
  </si>
  <si>
    <t>Master’s Degree (e.g. MA. MSc)</t>
  </si>
  <si>
    <t>Sales and Marketing</t>
  </si>
  <si>
    <t>that the info is easy to find, it doesn't matter what device</t>
  </si>
  <si>
    <t/>
  </si>
  <si>
    <t>25 - 34</t>
  </si>
  <si>
    <t>GCSE/O-level</t>
  </si>
  <si>
    <t>Finance and Banking</t>
  </si>
  <si>
    <t>35 - 44</t>
  </si>
  <si>
    <t>Bachelors Degree (e.g BA, BSc)</t>
  </si>
  <si>
    <t>Unemployed</t>
  </si>
  <si>
    <t>That after marking her students' work she had to manually type the grades up for each student</t>
  </si>
  <si>
    <t>Vocational Qualifications (e.g. NVQs, BTEC)</t>
  </si>
  <si>
    <t>Information Technology and Software Development</t>
  </si>
  <si>
    <t>That another computer will be needed in order to be able to listen to music and complete other computer-related tasks</t>
  </si>
  <si>
    <t>55 - 64</t>
  </si>
  <si>
    <t>Higher National Certificate/higher National Diploma</t>
  </si>
  <si>
    <t>it's you against the machine which is always difficult when starting something new</t>
  </si>
  <si>
    <t>Engineering and Manufacturing</t>
  </si>
  <si>
    <t>Nonprofit and Social Services</t>
  </si>
  <si>
    <t>A-levels/Highers</t>
  </si>
  <si>
    <t xml:space="preserve">They need another computer </t>
  </si>
  <si>
    <t>Retired</t>
  </si>
  <si>
    <t>All Steph's info, programs etc are not kept on the computer's hard drive.</t>
  </si>
  <si>
    <t>Retail and Customer Service</t>
  </si>
  <si>
    <t>Law and Legal Services</t>
  </si>
  <si>
    <t>Education and Training</t>
  </si>
  <si>
    <t>You play against the Chess AI if you play on the ipad</t>
  </si>
  <si>
    <t>Healthcare and Medicine</t>
  </si>
  <si>
    <t>He is saying that when they practice playing Chinese chess on the iPad, you don’t play Addinsell another person, you play against the computer game.</t>
  </si>
  <si>
    <t>Consulting and Business Services</t>
  </si>
  <si>
    <t>Government and Public Administration</t>
  </si>
  <si>
    <t>steph is saying she keeps all storage separate from her computer and uses an external drive to do so</t>
  </si>
  <si>
    <t>That something has happened to her computer. She is trying her best to back up her work and stay safe, but may not completely understand it.</t>
  </si>
  <si>
    <t xml:space="preserve">That she had a lot of work to mark, including having to input the grades into the computer for all 75 of them. </t>
  </si>
  <si>
    <t>She had to record the students' grades into offcial computerised records.</t>
  </si>
  <si>
    <t xml:space="preserve">That the workload in teaching is high and demanding </t>
  </si>
  <si>
    <t>That there is insufficient memory of their current computer</t>
  </si>
  <si>
    <t>Alison is choosing a quicker and easier method to resolve the issue .</t>
  </si>
  <si>
    <t>Arts and Humanities</t>
  </si>
  <si>
    <t>Construction and Skilled Trades</t>
  </si>
  <si>
    <t>Keeps stuff just on his external hard drive</t>
  </si>
  <si>
    <t>Uma is suggesting that the extra work of putting grades into a computer adds to the already considerable workload</t>
  </si>
  <si>
    <t>A simple answer to who you're playing on the ipad to clear up the understanding for Stephen</t>
  </si>
  <si>
    <t>He is better than Stephen so telling him to play the computer to win</t>
  </si>
  <si>
    <t>65 - 74</t>
  </si>
  <si>
    <t>Transportation and Logistics</t>
  </si>
  <si>
    <t xml:space="preserve">Doesn't trust the computer </t>
  </si>
  <si>
    <t>18 - 24</t>
  </si>
  <si>
    <t xml:space="preserve">he’s a cautious person who thinks ahead </t>
  </si>
  <si>
    <t>best to use the computer</t>
  </si>
  <si>
    <t>Sarcasm</t>
  </si>
  <si>
    <t>that the information would be easy to find on the computer.</t>
  </si>
  <si>
    <t>Media  and Entertainment</t>
  </si>
  <si>
    <t>She had to input the grades of work she had marked into a database via computer.</t>
  </si>
  <si>
    <t>You don't play another person</t>
  </si>
  <si>
    <t>we play chess against an ai oppoment</t>
  </si>
  <si>
    <t xml:space="preserve">Another computer is required to help store all the music. </t>
  </si>
  <si>
    <t>Secondary School/No formal qualifications</t>
  </si>
  <si>
    <t xml:space="preserve">She doesn’t think that anything is stored in computer </t>
  </si>
  <si>
    <t>Energy and Utilities</t>
  </si>
  <si>
    <t>You can use the computer to find out the location of the country they are discussing</t>
  </si>
  <si>
    <t>he needs a bigger hard drive or computer</t>
  </si>
  <si>
    <t>75 - 84</t>
  </si>
  <si>
    <t xml:space="preserve">Uma was saying she had lots of clerical computer work to do having marked so many lengthy papers </t>
  </si>
  <si>
    <t>Student</t>
  </si>
  <si>
    <t xml:space="preserve">He has concluded that they need a new computer due to a lack of storage space. He is quite definite about this claim, and seems to have concluded it suddenly. </t>
  </si>
  <si>
    <t>that they need another computer to listen to music on</t>
  </si>
  <si>
    <t>The gig space on the computer is not enough to support alot of storage</t>
  </si>
  <si>
    <t xml:space="preserve">Uma has a very demanding job and she might be stressed due to the pressures of work. </t>
  </si>
  <si>
    <t>That putting the grade into the computer is extra effort on top of marking the papers</t>
  </si>
  <si>
    <t xml:space="preserve">Dave needs more storage so he was suggesting getting a new system </t>
  </si>
  <si>
    <t>Stephen finds the computer easier to beat than a human, so prefers the computer game to tge board game</t>
  </si>
  <si>
    <t>she isnt confident in the safety of online things</t>
  </si>
  <si>
    <t xml:space="preserve">They keep everything in the cloud </t>
  </si>
  <si>
    <t>They don't store anything on the internal drives of the computer, it is all on the external drive.</t>
  </si>
  <si>
    <t>They need to buy a new computer.</t>
  </si>
  <si>
    <t>he forgot the board</t>
  </si>
  <si>
    <t xml:space="preserve">That Stephen is going to play against a computer. </t>
  </si>
  <si>
    <t xml:space="preserve">That the location can easily be found on the computer </t>
  </si>
  <si>
    <t xml:space="preserve">Alison is determined to find out which country it is close to. </t>
  </si>
  <si>
    <t>dave wants another computer</t>
  </si>
  <si>
    <t>Science and Research</t>
  </si>
  <si>
    <t>It is a really simple task on the computer you don't need a tablet</t>
  </si>
  <si>
    <t>She doesn’t trust saving data on a laptop</t>
  </si>
  <si>
    <t>entering scores from papers into computer takes a lot of time</t>
  </si>
  <si>
    <t>thay they need to upgrade their computer as its not good enough for the task they want to do.</t>
  </si>
  <si>
    <t>That they need another device with planty of storage space on it.</t>
  </si>
  <si>
    <t>Uma is highlighting the amount of work they have to do as a teaching professional.</t>
  </si>
  <si>
    <t>location of a country</t>
  </si>
  <si>
    <t xml:space="preserve">That her job as a teacher is long </t>
  </si>
  <si>
    <t xml:space="preserve">Steph is happy to leave his data on an external drive, as the normal computer has had issues with losing data, so using an external drive insures data to be safe </t>
  </si>
  <si>
    <t xml:space="preserve">Their computer doesn’t serve their purpose anymore as it doesn’t have enough data storage. They need to buy a computer with more available storage. </t>
  </si>
  <si>
    <t>Hospitality and Tourism</t>
  </si>
  <si>
    <t>he would like a new additional computer</t>
  </si>
  <si>
    <t>That he needs another computer for more storage capacity</t>
  </si>
  <si>
    <t>Th ipad games will be against a computer adverrsary , we will not play against each other, despite my  statement that I will show you chess</t>
  </si>
  <si>
    <t>Alison believes it's easier to access an atlas on a computer</t>
  </si>
  <si>
    <t>That weird doesn't want Stefan to play with him on the game. Instead he wants Stefan to play with the computer</t>
  </si>
  <si>
    <t>Computers are easier to work with than the map they were going to find</t>
  </si>
  <si>
    <t>too much work</t>
  </si>
  <si>
    <t xml:space="preserve">She is trying to explain how she backs up her data using the external drive. </t>
  </si>
  <si>
    <t>Wade telling Stephen to play the game against the computer</t>
  </si>
  <si>
    <t>That they need another computer</t>
  </si>
  <si>
    <t>She keeps her files on a separate hard drive</t>
  </si>
  <si>
    <t>Do the old 'Google It' thing. No knowledge of anything.</t>
  </si>
  <si>
    <t>He feels they need an additional device - computer it seems, so it could be laptop or desktop</t>
  </si>
  <si>
    <t xml:space="preserve">She only has one copy backed up and keeps nothing stored on her computer </t>
  </si>
  <si>
    <t>steph seems like she doesn't trust technology so she doesn't keep anything important on her computer</t>
  </si>
  <si>
    <t>Agriculture and Environmental Services</t>
  </si>
  <si>
    <t>Uma is relaying to the fellow colleague how much work she had to do and adding that she also had to upload the final result on a computer which seems to have been an extra task she was not keen on doing.</t>
  </si>
  <si>
    <t>THAT SHE WANTED BRIAN TO USE THE COMPUTER, MAYBE BECAUSE CAROL ALSO SUGGESTED USING THE COMPUTER</t>
  </si>
  <si>
    <t>there was alot of work to do</t>
  </si>
  <si>
    <t xml:space="preserve">That all documents/pictures etc are not saved directly onto her completed but onto an external hard drive </t>
  </si>
  <si>
    <t>No, you play against the computer.</t>
  </si>
  <si>
    <t>Can't play against a friend</t>
  </si>
  <si>
    <t xml:space="preserve">That computers are quicker and easier to use to search for things </t>
  </si>
  <si>
    <t xml:space="preserve">Dave has run out of memory on his computer and wants a new one </t>
  </si>
  <si>
    <t>It is easier to look it up on the computer than it is in a book</t>
  </si>
  <si>
    <t>The computer is your opponent, you are not playing against another human being.</t>
  </si>
  <si>
    <t>Wade is explaining that when you play chess on a computer, you play not against your friends but against the computer</t>
  </si>
  <si>
    <t xml:space="preserve">She is telling Brian the information is easy to find using a computer </t>
  </si>
  <si>
    <t>that they do not keep anything on their computer</t>
  </si>
  <si>
    <t>that her computer was broken</t>
  </si>
  <si>
    <t>Advice being given to Brian that it would be easy to get it on the computer.</t>
  </si>
  <si>
    <t>That her computer crashed</t>
  </si>
  <si>
    <t>Doctorate (e.g. PhD, EdD)</t>
  </si>
  <si>
    <t>That this was an additional task that exacerbated her tiresome workload.</t>
  </si>
  <si>
    <t xml:space="preserve">Wade is explaining to Stephen that when you play on the iPad you play against a non-human player that is part of the game software. </t>
  </si>
  <si>
    <t>One if the steps to her work after marking.</t>
  </si>
  <si>
    <t>that she had an awful lot of work to do with marking, and then frustration at having to do extra admin work via the computer inputting</t>
  </si>
  <si>
    <t>Steph does not keep any saved documents or photos, etc on a computer. She just uses the computer to browse and does not save anything to the hard drive.</t>
  </si>
  <si>
    <t>perhaps she is better off using a computer compared to a tablet to browse the internet for the world map/atlas.</t>
  </si>
  <si>
    <t>That there isn't enough storage on the one computer they are sharing for  both Dave and Lucy to do everything they want to do on it, so it would be better if they had a computer each</t>
  </si>
  <si>
    <t>She resents the extra time that entering marks onto the system takes when she has already done the paperwork on the essays.  She may also benefit from training if she finds it a hefty task to enter 75 grades</t>
  </si>
  <si>
    <t>that he doesn't trust a computer hard drive as secure storage</t>
  </si>
  <si>
    <t>Foundation Degree</t>
  </si>
  <si>
    <t xml:space="preserve">that there will be no human interaction </t>
  </si>
  <si>
    <t>He is frustrated about the space on the computer so says he needs another one</t>
  </si>
  <si>
    <t>She had to put the grades from each of the papers she marked into the computer system to record them</t>
  </si>
  <si>
    <t>A high workload</t>
  </si>
  <si>
    <t>Dave is suggesting he needs another computer (to allow multiple tasks to be undertaken at same time)</t>
  </si>
  <si>
    <t>That you play the game with the computer.</t>
  </si>
  <si>
    <t>She doesn't know much about computers, but she needs to copy her work.</t>
  </si>
  <si>
    <t xml:space="preserve">Needing another computer to allow for listening to music - existing device doesn't have the space </t>
  </si>
  <si>
    <t>That they aren't playing against each other, instead against the compute.</t>
  </si>
  <si>
    <t>That Steph doesn't trust saving anything on her computer</t>
  </si>
  <si>
    <t>She says that the grades of the papers she marked had to be inputted into the computer.</t>
  </si>
  <si>
    <t>That she had additional work load.</t>
  </si>
  <si>
    <t>This is a computer game, you are not playing a real person.</t>
  </si>
  <si>
    <t xml:space="preserve">Wade is trying to help his friends but seems very pushing in doing what he wants to do. </t>
  </si>
  <si>
    <t>Wade doesn't seem to like losing as shown in that he's only playing against normal level in the game and not moving to a more difficult level like he should because he wins 99% of the time. He is worried about losing to Stephen so only wants to play against the computer.</t>
  </si>
  <si>
    <t>That she doesn't hold any information or personal files on her computer.</t>
  </si>
  <si>
    <t>Wade means the player competes against the computer. The "you" could be singular, as in Stephen, or plural, meaning both/either Wade and Stephen could play against the computer.</t>
  </si>
  <si>
    <t xml:space="preserve">That it is a player versus the computer, and not player versus player </t>
  </si>
  <si>
    <t>It is simple to find out information on the computer, i.e. by searching on the internet, or looking at google maps in this case.</t>
  </si>
  <si>
    <t>Says exactly what they mean, they need an extra computer</t>
  </si>
  <si>
    <t>She isnt interested in using the PC, prefers a book</t>
  </si>
  <si>
    <t xml:space="preserve">she had a lot of work to do and she was annoyed by how much </t>
  </si>
  <si>
    <t>That she has additional work on top of her actually roles and responsibilities.</t>
  </si>
  <si>
    <t>alison wants brian to do himself</t>
  </si>
  <si>
    <t>That tablet and computer can equally do the same thing but the computer is easier i think,</t>
  </si>
  <si>
    <t>That you can find a map of the area they wish to see easily on the computer</t>
  </si>
  <si>
    <t xml:space="preserve">You can find where the country is easily on the computer </t>
  </si>
  <si>
    <t>knowledge and confidence as she knows exactly where to find it</t>
  </si>
  <si>
    <t>that it is easier to find it that way</t>
  </si>
  <si>
    <t xml:space="preserve">you can get it on the computer easily </t>
  </si>
  <si>
    <t>Plus then putting the grades into the computer.</t>
  </si>
  <si>
    <t>We need another computer.</t>
  </si>
  <si>
    <t>I don't keep anything on the computer.</t>
  </si>
  <si>
    <t>Dialogue</t>
  </si>
  <si>
    <t>Totals</t>
  </si>
  <si>
    <t>Response Type</t>
  </si>
  <si>
    <t>Column1</t>
  </si>
  <si>
    <t>SHE ISN'T AU FAI WITH SAFE DATA STORAGE</t>
  </si>
  <si>
    <t xml:space="preserve">shes not very good at technology in terms of backing her work up and dosent seem to understance </t>
  </si>
  <si>
    <t>Either the Computer has crashed, ben infected or stolen. In which case she would have lost all work</t>
  </si>
  <si>
    <t>She doesn't have these particular files, which she deems important to back up, on the harddrive on her computer</t>
  </si>
  <si>
    <t>I think she is saying she is very worried about data protection and online security. I imagine she is quite technically limited and doesn't understand computers</t>
  </si>
  <si>
    <t>She wants to look at a map online</t>
  </si>
  <si>
    <t>She wants to bring up a map on the computer to look at</t>
  </si>
  <si>
    <t>DPS</t>
  </si>
  <si>
    <t xml:space="preserve">QUD: </t>
  </si>
  <si>
    <t>How can we find out where [that country] is?</t>
  </si>
  <si>
    <t>SIT</t>
  </si>
  <si>
    <t>INF</t>
  </si>
  <si>
    <t>EVA</t>
  </si>
  <si>
    <t>Comment</t>
  </si>
  <si>
    <t>Certainty</t>
  </si>
  <si>
    <t>not specific to the situation</t>
  </si>
  <si>
    <t>does not explicitly say it's quicker on the computer</t>
  </si>
  <si>
    <t>does not explicitly say it's better on the computer</t>
  </si>
  <si>
    <t>ascribing an evaluation</t>
  </si>
  <si>
    <t>paraphrase</t>
  </si>
  <si>
    <t>determination is an atttiude</t>
  </si>
  <si>
    <t>not needing a tablet not said, specific to situation</t>
  </si>
  <si>
    <t>does not explicitly say it's easier on the computer</t>
  </si>
  <si>
    <t>evaluation</t>
  </si>
  <si>
    <t xml:space="preserve">ascribing desires/wants to alison </t>
  </si>
  <si>
    <t>guessing speaker's interests</t>
  </si>
  <si>
    <t xml:space="preserve">does not mention doing  things easier </t>
  </si>
  <si>
    <t>giving her attributes and emotions</t>
  </si>
  <si>
    <t>"What was your workload like last semester?"</t>
  </si>
  <si>
    <t xml:space="preserve">referring back to the quantity of the work </t>
  </si>
  <si>
    <t>inference, not stated but not affective</t>
  </si>
  <si>
    <t xml:space="preserve">SIT, goes broader into the discourse than the actual statement </t>
  </si>
  <si>
    <t>ascribing uma emotions</t>
  </si>
  <si>
    <t>inferred that it's extra effort, not actually said</t>
  </si>
  <si>
    <t>wider discourse</t>
  </si>
  <si>
    <t>unsure if SIT pr INF</t>
  </si>
  <si>
    <t>inferred</t>
  </si>
  <si>
    <t>mixture of them actually, but most important part is the intent ascription</t>
  </si>
  <si>
    <t>inferred meaning, unsure if SIT or INF</t>
  </si>
  <si>
    <t>inferred that the workload was tiring</t>
  </si>
  <si>
    <t>process of the narrative</t>
  </si>
  <si>
    <t>frustration</t>
  </si>
  <si>
    <t>paraphrase (plus personal judgement that had nothing to do with the task)</t>
  </si>
  <si>
    <t>not said if this was additional, ifnerence</t>
  </si>
  <si>
    <t xml:space="preserve">never said this was additional work </t>
  </si>
  <si>
    <t>shifts various times, but at the key utterance, it's "who do we play against on the IPAD"</t>
  </si>
  <si>
    <t>inferred that it's difficult</t>
  </si>
  <si>
    <t xml:space="preserve">inference not directly said </t>
  </si>
  <si>
    <t xml:space="preserve">extended consequence of the situation </t>
  </si>
  <si>
    <t>unsure actually, is calling him pushy EVA?</t>
  </si>
  <si>
    <t xml:space="preserve">ascribes emotions to wade and steven </t>
  </si>
  <si>
    <t>Steph and Marco are discussing technology:
Steph: I've got all my, all my documents are on the... er... two shilabyte? trialabyte? trilabyte?
Marco: Terabyte.
Steph: Two terabyte, terabyte.
Marco: Two terabytes.
Steph: External drive. I've got buy-one-get-one-free from Maplins.
Marco: Yeah.
Steph: And I really ought to copy that onto... I've got none of the other one, the free one.
Marco: No, if you've got one, that's fine.
Steph: No, but if that goes tits up...
Marco: Well, how many copy backups do you need? People only have one backup.
Steph: The external drive is my drive, it's not on the computer. I don't keep anything on the computer.
Marco: Why not?
Steph: I'm jolly lucky, cos if it had been all on the computer, I would have nothing now.
What do you think is conveyed by Steph in the underlined text?</t>
  </si>
  <si>
    <t>shifts various times, but at the key utterance, it's " “What’s the solution to this storage/functionality problem?”</t>
  </si>
  <si>
    <t>What kind of storage does Steph have for her files?</t>
  </si>
  <si>
    <t xml:space="preserve">the purpose of the computer, is that SIT or DPS?  I'm not entirely sure </t>
  </si>
  <si>
    <t>paraohrase</t>
  </si>
  <si>
    <t>his certainty isEVA</t>
  </si>
  <si>
    <t>definitely EVA</t>
  </si>
  <si>
    <t>having a computer each is inferred somehow</t>
  </si>
  <si>
    <t>frusttration ascription is EVA</t>
  </si>
  <si>
    <t>While it is inferred, the focus is on Steph’s attitude or stance — her lack of confidence, which is an evaluative or mental-state interpretation.</t>
  </si>
  <si>
    <t>It expresses an attitude of distrust toward a particular storage method (saving data on a laptop).</t>
  </si>
  <si>
    <r>
      <t xml:space="preserve">t reflects an </t>
    </r>
    <r>
      <rPr>
        <b/>
        <sz val="11"/>
        <color indexed="8"/>
        <rFont val="Aptos Narrow"/>
        <family val="2"/>
        <scheme val="minor"/>
      </rPr>
      <t>inference about Steph's general attitude</t>
    </r>
    <r>
      <rPr>
        <sz val="11"/>
        <color indexed="8"/>
        <rFont val="Aptos Narrow"/>
        <family val="2"/>
        <scheme val="minor"/>
      </rPr>
      <t xml:space="preserve"> toward technology (specifically, </t>
    </r>
    <r>
      <rPr>
        <b/>
        <sz val="11"/>
        <color indexed="8"/>
        <rFont val="Aptos Narrow"/>
        <family val="2"/>
        <scheme val="minor"/>
      </rPr>
      <t>distrust</t>
    </r>
    <r>
      <rPr>
        <sz val="11"/>
        <color indexed="8"/>
        <rFont val="Aptos Narrow"/>
        <family val="2"/>
        <scheme val="minor"/>
      </rPr>
      <t>).</t>
    </r>
  </si>
  <si>
    <t>Highlighting an actual habitual behaviour involving file storage and computer usage — not merely paraphrasing the utterance.</t>
  </si>
  <si>
    <t>attributing desire</t>
  </si>
  <si>
    <t>D1</t>
  </si>
  <si>
    <t>D2</t>
  </si>
  <si>
    <t>D4</t>
  </si>
  <si>
    <t>D5</t>
  </si>
  <si>
    <t>D3</t>
  </si>
  <si>
    <r>
      <t xml:space="preserve">the need for another computer is tied to the </t>
    </r>
    <r>
      <rPr>
        <b/>
        <sz val="11"/>
        <color indexed="8"/>
        <rFont val="Aptos Narrow"/>
        <family val="2"/>
        <scheme val="minor"/>
      </rPr>
      <t>concrete event</t>
    </r>
    <r>
      <rPr>
        <sz val="11"/>
        <color indexed="8"/>
        <rFont val="Aptos Narrow"/>
        <family val="2"/>
        <scheme val="minor"/>
      </rPr>
      <t xml:space="preserve"> of requiring more storage, which is part of the </t>
    </r>
    <r>
      <rPr>
        <b/>
        <sz val="11"/>
        <color indexed="8"/>
        <rFont val="Aptos Narrow"/>
        <family val="2"/>
        <scheme val="minor"/>
      </rPr>
      <t>ongoing situation</t>
    </r>
    <r>
      <rPr>
        <sz val="11"/>
        <color indexed="8"/>
        <rFont val="Aptos Narrow"/>
        <family val="2"/>
        <scheme val="minor"/>
      </rPr>
      <t xml:space="preserve"> of using technology. It's not just a restatement or paraphrase of the situation; it’s about how the event (the need for another computer) relates to a tangible outcome (increased storage capacity)</t>
    </r>
  </si>
  <si>
    <t>Inferred Situation, possibly with a slight Att shading — this suggests an evaluation, but it’s framed as part of interpreting the situation (e.g. deduced from her hesitancy over tech terms).</t>
  </si>
  <si>
    <t>PAR</t>
  </si>
  <si>
    <t xml:space="preserve">Randomly </t>
  </si>
  <si>
    <t>Excluded?</t>
  </si>
  <si>
    <t>X</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</si>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</sst>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sz val="11"/>
      <color indexed="8"/>
      <name val="Aptos Narrow"/>
      <family val="2"/>
      <scheme val="minor"/>
    </font>
    <font>
      <sz val="8"/>
      <name val="Aptos Narrow"/>
      <family val="2"/>
      <scheme val="minor"/>
    </font>
    <font>
      <b/>
      <sz val="11"/>
      <color indexed="8"/>
      <name val="Aptos Narrow"/>
      <family val="2"/>
      <scheme val="minor"/>
    </font>
    <font>
      <sz val="9"/>
      <color indexed="8"/>
      <name val="Aptos Narrow"/>
      <family val="2"/>
      <scheme val="minor"/>
    </font>
  </fonts>
  <fills count="5">
    <fill>
      <patternFill patternType="none"/>
    </fill>
    <fill>
      <patternFill patternType="gray125"/>
    </fill>
    <fill>
      <patternFill patternType="solid">
        <fgColor indexed="22"/>
      </patternFill>
    </fill>
    <fill>
      <patternFill patternType="solid">
        <fgColor rgb="FFFFC000"/>
        <bgColor indexed="64"/>
      </patternFill>
    </fill>
    <fill>
      <patternFill patternType="solid">
        <fgColor theme="2" tint="-9.9978637043366805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9">
    <xf numFmtId="0" fontId="0" fillId="0" borderId="0" xfId="0"/>
    <xf numFmtId="49" fontId="0" fillId="0" borderId="0" xfId="0" applyNumberFormat="1" applyAlignment="1">
      <alignment wrapText="1"/>
    </xf>
    <xf numFmtId="0" fontId="0" fillId="2" borderId="0" xfId="0" applyFill="1"/>
    <xf numFmtId="0" fontId="0" fillId="0" borderId="0" xfId="0">
      <extLst>
        <ext xmlns:xfpb="http://schemas.microsoft.com/office/spreadsheetml/2022/featurepropertybag" uri="{C7286773-470A-42A8-94C5-96B5CB345126}">
          <xfpb:xfComplement i="0"/>
        </ext>
      </extLst>
    </xf>
    <xf numFmtId="49" fontId="0" fillId="0" borderId="0" xfId="0" applyNumberFormat="1"/>
    <xf numFmtId="0" fontId="0" fillId="0" borderId="0" xfId="0" applyAlignment="1">
      <alignment vertical="top"/>
    </xf>
    <xf numFmtId="0" fontId="0" fillId="0" borderId="0" xfId="0" applyAlignment="1">
      <alignment wrapText="1"/>
    </xf>
    <xf numFmtId="0" fontId="0" fillId="0" borderId="0" xfId="0" applyAlignment="1">
      <alignment horizontal="left" vertical="top"/>
    </xf>
    <xf numFmtId="0" fontId="0" fillId="0" borderId="0" xfId="0" applyAlignment="1">
      <alignment vertical="top" wrapText="1"/>
    </xf>
    <xf numFmtId="9" fontId="0" fillId="0" borderId="0" xfId="1" applyFont="1"/>
    <xf numFmtId="49" fontId="0" fillId="3" borderId="0" xfId="0" applyNumberFormat="1" applyFill="1" applyAlignment="1">
      <alignment wrapText="1"/>
    </xf>
    <xf numFmtId="0" fontId="4" fillId="0" borderId="0" xfId="0" applyFont="1" applyAlignment="1">
      <alignment horizontal="right"/>
      <extLst>
        <ext xmlns:xfpb="http://schemas.microsoft.com/office/spreadsheetml/2022/featurepropertybag" uri="{C7286773-470A-42A8-94C5-96B5CB345126}">
          <xfpb:xfComplement i="0"/>
        </ext>
      </extLst>
    </xf>
    <xf numFmtId="0" fontId="0" fillId="4" borderId="0" xfId="0" applyFill="1"/>
    <xf numFmtId="0" fontId="0" fillId="4" borderId="0" xfId="0" applyFill="1" applyAlignment="1">
      <alignment wrapText="1"/>
    </xf>
    <xf numFmtId="0" fontId="0" fillId="2" borderId="0" xfId="0" applyFill="1" applyAlignment="1">
      <alignment horizontal="left" wrapText="1"/>
    </xf>
    <xf numFmtId="0" fontId="0" fillId="0" borderId="0" xfId="0" applyAlignment="1">
      <alignment horizontal="center"/>
    </xf>
    <xf numFmtId="0" fontId="0" fillId="2" borderId="0" xfId="0" applyFill="1" applyAlignment="1">
      <alignment horizontal="left" vertical="top" wrapText="1"/>
    </xf>
    <xf numFmtId="49" fontId="0" fillId="4" borderId="0" xfId="0" applyNumberFormat="1" applyFill="1" applyAlignment="1">
      <alignment wrapText="1"/>
    </xf>
    <xf numFmtId="0" fontId="0" fillId="0" borderId="0" xfId="0" applyFill="1"/>
  </cellXfs>
  <cellStyles count="2">
    <cellStyle name="Normal" xfId="0" builtinId="0"/>
    <cellStyle name="Per cent" xfId="1"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22/11/relationships/FeaturePropertyBag" Target="featurePropertyBag/featurePropertyBag.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5813B36-FECD-480D-83FA-D80B723894C0}" name="Table6" displayName="Table6" ref="A1:E6" totalsRowShown="0">
  <autoFilter ref="A1:E6" xr:uid="{95813B36-FECD-480D-83FA-D80B723894C0}"/>
  <tableColumns count="5">
    <tableColumn id="1" xr3:uid="{2C3BAEB5-10E5-42F1-9181-BD7C98E8C5FC}" name="Dialogue"/>
    <tableColumn id="2" xr3:uid="{789AB2D7-E840-457A-BBA5-FD6798FA7144}" name="PAR"/>
    <tableColumn id="3" xr3:uid="{970E625A-F1C0-4833-94D9-209F8BC2A30C}" name="SIT"/>
    <tableColumn id="4" xr3:uid="{9BB436CA-EB5B-4226-B348-1F4CF7389E43}" name="INF"/>
    <tableColumn id="5" xr3:uid="{F2A1B2D0-E9F4-4B72-A79C-DDDA3705E07B}" name="EVA"/>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08E61BF-5814-4C6E-8C24-62A438C9F2E9}" name="Table7" displayName="Table7" ref="A13:E14" totalsRowShown="0">
  <autoFilter ref="A13:E14" xr:uid="{408E61BF-5814-4C6E-8C24-62A438C9F2E9}"/>
  <tableColumns count="5">
    <tableColumn id="1" xr3:uid="{371CBEE5-42A6-4BF8-84CE-D5AD8B5971BB}" name="Response Type"/>
    <tableColumn id="2" xr3:uid="{773B53B2-89D6-43EC-854C-EF2FD263716A}" name="PAR">
      <calculatedColumnFormula>SUM(Table6[PAR])</calculatedColumnFormula>
    </tableColumn>
    <tableColumn id="3" xr3:uid="{9ADD4E6F-1254-4FFF-BD84-AD272986786E}" name="SIT">
      <calculatedColumnFormula>SUM(Table6[SIT])</calculatedColumnFormula>
    </tableColumn>
    <tableColumn id="4" xr3:uid="{E3757FC5-DF94-4B65-9AE9-57880341AEA4}" name="INF">
      <calculatedColumnFormula>SUM(Table6[INF])</calculatedColumnFormula>
    </tableColumn>
    <tableColumn id="5" xr3:uid="{FA46905A-30C3-48FB-9832-DFD769B1FDA0}" name="EVA">
      <calculatedColumnFormula>SUM(Table6[EVA])</calculatedColumnFormula>
    </tableColumn>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6221161E-D465-49B1-BFCC-26EE7B8A4FF8}" name="Table69" displayName="Table69" ref="A18:F23" totalsRowShown="0">
  <autoFilter ref="A18:F23" xr:uid="{6221161E-D465-49B1-BFCC-26EE7B8A4FF8}"/>
  <tableColumns count="6">
    <tableColumn id="1" xr3:uid="{912B1374-2C0D-42DD-9A5D-56230182F95A}" name="Column1"/>
    <tableColumn id="2" xr3:uid="{5A2012E2-772D-4803-9EC2-3C9490367982}" name="PAR" dataCellStyle="Per cent">
      <calculatedColumnFormula>B2/Table69[[#This Row],[total]]</calculatedColumnFormula>
    </tableColumn>
    <tableColumn id="3" xr3:uid="{E11622D2-6002-40C6-8182-BAD317778A95}" name="SIT" dataCellStyle="Per cent">
      <calculatedColumnFormula>C2/Table69[[#This Row],[total]]</calculatedColumnFormula>
    </tableColumn>
    <tableColumn id="4" xr3:uid="{045DF778-596B-4653-8846-DE98D2A2A6F0}" name="INF" dataCellStyle="Per cent">
      <calculatedColumnFormula>D2/Table69[[#This Row],[total]]</calculatedColumnFormula>
    </tableColumn>
    <tableColumn id="5" xr3:uid="{CD267EEA-A6DD-4C79-8E19-450F634B52A1}" name="EVA" dataCellStyle="Per cent">
      <calculatedColumnFormula>E2/Table69[[#This Row],[total]]</calculatedColumnFormula>
    </tableColumn>
    <tableColumn id="6" xr3:uid="{E0D98514-22A3-4D70-B126-61CE1B8617EC}" name="total">
      <calculatedColumnFormula>SUM(B2:E2)</calculatedColumnFormula>
    </tableColum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5"/>
  <sheetViews>
    <sheetView workbookViewId="0">
      <selection activeCell="D5" sqref="D5"/>
    </sheetView>
  </sheetViews>
  <sheetFormatPr defaultRowHeight="14.75" x14ac:dyDescent="0.75"/>
  <cols>
    <col min="4" max="4" width="39.953125" customWidth="1"/>
    <col min="5" max="5" width="38.7265625" customWidth="1"/>
    <col min="6" max="6" width="43.36328125" customWidth="1"/>
    <col min="7" max="7" width="38.04296875" customWidth="1"/>
    <col min="8" max="8" width="45.81640625" customWidth="1"/>
  </cols>
  <sheetData>
    <row r="1" spans="1:8" x14ac:dyDescent="0.75">
      <c r="A1" s="2" t="s">
        <v>0</v>
      </c>
      <c r="B1" s="2" t="s">
        <v>1</v>
      </c>
      <c r="C1" s="2" t="s">
        <v>2</v>
      </c>
      <c r="D1" s="2" t="s">
        <v>3</v>
      </c>
      <c r="E1" s="2" t="s">
        <v>4</v>
      </c>
      <c r="F1" s="2" t="s">
        <v>5</v>
      </c>
      <c r="G1" s="2" t="s">
        <v>6</v>
      </c>
      <c r="H1" s="2" t="s">
        <v>7</v>
      </c>
    </row>
    <row r="2" spans="1:8" x14ac:dyDescent="0.75">
      <c r="A2" s="2" t="s">
        <v>8</v>
      </c>
      <c r="B2" s="2" t="s">
        <v>9</v>
      </c>
      <c r="C2" s="2" t="s">
        <v>10</v>
      </c>
      <c r="D2" s="2" t="s">
        <v>11</v>
      </c>
      <c r="E2" s="2" t="s">
        <v>12</v>
      </c>
      <c r="F2" s="2" t="s">
        <v>13</v>
      </c>
      <c r="G2" s="2" t="s">
        <v>14</v>
      </c>
      <c r="H2" s="2" t="s">
        <v>15</v>
      </c>
    </row>
    <row r="3" spans="1:8" ht="59" x14ac:dyDescent="0.75">
      <c r="A3" s="1" t="s">
        <v>16</v>
      </c>
      <c r="B3" s="1" t="s">
        <v>17</v>
      </c>
      <c r="C3" s="1" t="s">
        <v>18</v>
      </c>
      <c r="D3" s="1" t="s">
        <v>19</v>
      </c>
      <c r="E3" s="1" t="s">
        <v>20</v>
      </c>
      <c r="F3" s="1" t="s">
        <v>20</v>
      </c>
      <c r="G3" s="1" t="s">
        <v>20</v>
      </c>
      <c r="H3" s="1" t="s">
        <v>20</v>
      </c>
    </row>
    <row r="4" spans="1:8" ht="44.25" x14ac:dyDescent="0.75">
      <c r="A4" s="1" t="s">
        <v>21</v>
      </c>
      <c r="B4" s="1" t="s">
        <v>22</v>
      </c>
      <c r="C4" s="1" t="s">
        <v>23</v>
      </c>
      <c r="D4" s="1" t="s">
        <v>20</v>
      </c>
      <c r="E4" s="1" t="s">
        <v>20</v>
      </c>
      <c r="F4" s="1" t="s">
        <v>20</v>
      </c>
      <c r="G4" s="1" t="s">
        <v>20</v>
      </c>
      <c r="H4" s="1" t="s">
        <v>20</v>
      </c>
    </row>
    <row r="5" spans="1:8" ht="59" x14ac:dyDescent="0.75">
      <c r="A5" s="1" t="s">
        <v>24</v>
      </c>
      <c r="B5" s="1" t="s">
        <v>25</v>
      </c>
      <c r="C5" s="1" t="s">
        <v>26</v>
      </c>
      <c r="D5" s="1" t="s">
        <v>20</v>
      </c>
      <c r="E5" s="1" t="s">
        <v>27</v>
      </c>
      <c r="F5" s="1" t="s">
        <v>20</v>
      </c>
      <c r="G5" s="1" t="s">
        <v>20</v>
      </c>
      <c r="H5" s="1" t="s">
        <v>20</v>
      </c>
    </row>
    <row r="6" spans="1:8" ht="103.25" x14ac:dyDescent="0.75">
      <c r="A6" s="1" t="s">
        <v>24</v>
      </c>
      <c r="B6" s="1" t="s">
        <v>28</v>
      </c>
      <c r="C6" s="1" t="s">
        <v>29</v>
      </c>
      <c r="D6" s="1" t="s">
        <v>20</v>
      </c>
      <c r="E6" s="1" t="s">
        <v>20</v>
      </c>
      <c r="F6" s="1" t="s">
        <v>20</v>
      </c>
      <c r="G6" s="1" t="s">
        <v>30</v>
      </c>
      <c r="H6" s="1" t="s">
        <v>20</v>
      </c>
    </row>
    <row r="7" spans="1:8" ht="103.25" x14ac:dyDescent="0.75">
      <c r="A7" s="1" t="s">
        <v>31</v>
      </c>
      <c r="B7" s="1" t="s">
        <v>32</v>
      </c>
      <c r="C7" s="1" t="s">
        <v>29</v>
      </c>
      <c r="D7" s="1" t="s">
        <v>20</v>
      </c>
      <c r="E7" s="1" t="s">
        <v>20</v>
      </c>
      <c r="F7" s="1" t="s">
        <v>33</v>
      </c>
      <c r="G7" s="1" t="s">
        <v>20</v>
      </c>
      <c r="H7" s="1" t="s">
        <v>20</v>
      </c>
    </row>
    <row r="8" spans="1:8" ht="59" x14ac:dyDescent="0.75">
      <c r="A8" s="1" t="s">
        <v>21</v>
      </c>
      <c r="B8" s="1" t="s">
        <v>25</v>
      </c>
      <c r="C8" s="1" t="s">
        <v>34</v>
      </c>
      <c r="D8" s="1" t="s">
        <v>20</v>
      </c>
      <c r="E8" s="1" t="s">
        <v>20</v>
      </c>
      <c r="F8" s="1" t="s">
        <v>20</v>
      </c>
      <c r="G8" s="1" t="s">
        <v>20</v>
      </c>
      <c r="H8" s="1" t="s">
        <v>20</v>
      </c>
    </row>
    <row r="9" spans="1:8" ht="59" x14ac:dyDescent="0.75">
      <c r="A9" s="1" t="s">
        <v>21</v>
      </c>
      <c r="B9" s="1" t="s">
        <v>25</v>
      </c>
      <c r="C9" s="1" t="s">
        <v>35</v>
      </c>
      <c r="D9" s="1" t="s">
        <v>20</v>
      </c>
      <c r="E9" s="1" t="s">
        <v>20</v>
      </c>
      <c r="F9" s="1" t="s">
        <v>20</v>
      </c>
      <c r="G9" s="1" t="s">
        <v>20</v>
      </c>
      <c r="H9" s="1" t="s">
        <v>20</v>
      </c>
    </row>
    <row r="10" spans="1:8" ht="59" x14ac:dyDescent="0.75">
      <c r="A10" s="1" t="s">
        <v>31</v>
      </c>
      <c r="B10" s="1" t="s">
        <v>17</v>
      </c>
      <c r="C10" s="1" t="s">
        <v>34</v>
      </c>
      <c r="D10" s="1" t="s">
        <v>20</v>
      </c>
      <c r="E10" s="1" t="s">
        <v>20</v>
      </c>
      <c r="F10" s="1" t="s">
        <v>20</v>
      </c>
      <c r="G10" s="1" t="s">
        <v>20</v>
      </c>
      <c r="H10" s="1" t="s">
        <v>20</v>
      </c>
    </row>
    <row r="11" spans="1:8" ht="59" x14ac:dyDescent="0.75">
      <c r="A11" s="1" t="s">
        <v>24</v>
      </c>
      <c r="B11" s="1" t="s">
        <v>36</v>
      </c>
      <c r="C11" s="1" t="s">
        <v>35</v>
      </c>
      <c r="D11" s="1" t="s">
        <v>20</v>
      </c>
      <c r="E11" s="1" t="s">
        <v>20</v>
      </c>
      <c r="F11" s="1" t="s">
        <v>20</v>
      </c>
      <c r="G11" s="1" t="s">
        <v>37</v>
      </c>
      <c r="H11" s="1" t="s">
        <v>20</v>
      </c>
    </row>
    <row r="12" spans="1:8" ht="44.25" x14ac:dyDescent="0.75">
      <c r="A12" s="1" t="s">
        <v>31</v>
      </c>
      <c r="B12" s="1" t="s">
        <v>36</v>
      </c>
      <c r="C12" s="1" t="s">
        <v>38</v>
      </c>
      <c r="D12" s="1" t="s">
        <v>20</v>
      </c>
      <c r="E12" s="1" t="s">
        <v>20</v>
      </c>
      <c r="F12" s="1" t="s">
        <v>20</v>
      </c>
      <c r="G12" s="1" t="s">
        <v>20</v>
      </c>
      <c r="H12" s="1" t="s">
        <v>20</v>
      </c>
    </row>
    <row r="13" spans="1:8" ht="59" x14ac:dyDescent="0.75">
      <c r="A13" s="1" t="s">
        <v>31</v>
      </c>
      <c r="B13" s="1" t="s">
        <v>25</v>
      </c>
      <c r="C13" s="1" t="s">
        <v>38</v>
      </c>
      <c r="D13" s="1" t="s">
        <v>20</v>
      </c>
      <c r="E13" s="1" t="s">
        <v>20</v>
      </c>
      <c r="F13" s="1" t="s">
        <v>20</v>
      </c>
      <c r="G13" s="1" t="s">
        <v>20</v>
      </c>
      <c r="H13" s="1" t="s">
        <v>39</v>
      </c>
    </row>
    <row r="14" spans="1:8" ht="59" x14ac:dyDescent="0.75">
      <c r="A14" s="1" t="s">
        <v>24</v>
      </c>
      <c r="B14" s="1" t="s">
        <v>25</v>
      </c>
      <c r="C14" s="1" t="s">
        <v>40</v>
      </c>
      <c r="D14" s="1" t="s">
        <v>20</v>
      </c>
      <c r="E14" s="1" t="s">
        <v>20</v>
      </c>
      <c r="F14" s="1" t="s">
        <v>20</v>
      </c>
      <c r="G14" s="1" t="s">
        <v>20</v>
      </c>
      <c r="H14" s="1" t="s">
        <v>20</v>
      </c>
    </row>
    <row r="15" spans="1:8" ht="88.5" x14ac:dyDescent="0.75">
      <c r="A15" s="1" t="s">
        <v>24</v>
      </c>
      <c r="B15" s="1" t="s">
        <v>28</v>
      </c>
      <c r="C15" s="1" t="s">
        <v>41</v>
      </c>
      <c r="D15" s="1" t="s">
        <v>20</v>
      </c>
      <c r="E15" s="1" t="s">
        <v>20</v>
      </c>
      <c r="F15" s="1" t="s">
        <v>20</v>
      </c>
      <c r="G15" s="1" t="s">
        <v>20</v>
      </c>
      <c r="H15" s="1" t="s">
        <v>20</v>
      </c>
    </row>
    <row r="16" spans="1:8" ht="59" x14ac:dyDescent="0.75">
      <c r="A16" s="1" t="s">
        <v>21</v>
      </c>
      <c r="B16" s="1" t="s">
        <v>25</v>
      </c>
      <c r="C16" s="1" t="s">
        <v>42</v>
      </c>
      <c r="D16" s="1" t="s">
        <v>20</v>
      </c>
      <c r="E16" s="1" t="s">
        <v>20</v>
      </c>
      <c r="F16" s="1" t="s">
        <v>43</v>
      </c>
      <c r="G16" s="1" t="s">
        <v>20</v>
      </c>
      <c r="H16" s="1" t="s">
        <v>20</v>
      </c>
    </row>
    <row r="17" spans="1:8" ht="29.5" x14ac:dyDescent="0.75">
      <c r="A17" s="1" t="s">
        <v>24</v>
      </c>
      <c r="B17" s="1" t="s">
        <v>22</v>
      </c>
      <c r="C17" s="1" t="s">
        <v>26</v>
      </c>
      <c r="D17" s="1" t="s">
        <v>20</v>
      </c>
      <c r="E17" s="1" t="s">
        <v>20</v>
      </c>
      <c r="F17" s="1" t="s">
        <v>20</v>
      </c>
      <c r="G17" s="1" t="s">
        <v>20</v>
      </c>
      <c r="H17" s="1" t="s">
        <v>20</v>
      </c>
    </row>
    <row r="18" spans="1:8" ht="59" x14ac:dyDescent="0.75">
      <c r="A18" s="1" t="s">
        <v>24</v>
      </c>
      <c r="B18" s="1" t="s">
        <v>25</v>
      </c>
      <c r="C18" s="1" t="s">
        <v>44</v>
      </c>
      <c r="D18" s="1" t="s">
        <v>20</v>
      </c>
      <c r="E18" s="1" t="s">
        <v>20</v>
      </c>
      <c r="F18" s="1" t="s">
        <v>45</v>
      </c>
      <c r="G18" s="1" t="s">
        <v>20</v>
      </c>
      <c r="H18" s="1" t="s">
        <v>20</v>
      </c>
    </row>
    <row r="19" spans="1:8" ht="59" x14ac:dyDescent="0.75">
      <c r="A19" s="1" t="s">
        <v>21</v>
      </c>
      <c r="B19" s="1" t="s">
        <v>17</v>
      </c>
      <c r="C19" s="1" t="s">
        <v>46</v>
      </c>
      <c r="D19" s="1" t="s">
        <v>20</v>
      </c>
      <c r="E19" s="1" t="s">
        <v>20</v>
      </c>
      <c r="F19" s="1" t="s">
        <v>20</v>
      </c>
      <c r="G19" s="1" t="s">
        <v>20</v>
      </c>
      <c r="H19" s="1" t="s">
        <v>20</v>
      </c>
    </row>
    <row r="20" spans="1:8" ht="73.75" x14ac:dyDescent="0.75">
      <c r="A20" s="1" t="s">
        <v>21</v>
      </c>
      <c r="B20" s="1" t="s">
        <v>17</v>
      </c>
      <c r="C20" s="1" t="s">
        <v>47</v>
      </c>
      <c r="D20" s="1" t="s">
        <v>20</v>
      </c>
      <c r="E20" s="1" t="s">
        <v>20</v>
      </c>
      <c r="F20" s="1" t="s">
        <v>20</v>
      </c>
      <c r="G20" s="1" t="s">
        <v>20</v>
      </c>
      <c r="H20" s="1" t="s">
        <v>48</v>
      </c>
    </row>
    <row r="21" spans="1:8" ht="73.75" x14ac:dyDescent="0.75">
      <c r="A21" s="1" t="s">
        <v>24</v>
      </c>
      <c r="B21" s="1" t="s">
        <v>25</v>
      </c>
      <c r="C21" s="1" t="s">
        <v>47</v>
      </c>
      <c r="D21" s="1" t="s">
        <v>20</v>
      </c>
      <c r="E21" s="1" t="s">
        <v>20</v>
      </c>
      <c r="F21" s="1" t="s">
        <v>20</v>
      </c>
      <c r="G21" s="1" t="s">
        <v>20</v>
      </c>
      <c r="H21" s="1" t="s">
        <v>49</v>
      </c>
    </row>
    <row r="22" spans="1:8" ht="88.5" x14ac:dyDescent="0.75">
      <c r="A22" s="1" t="s">
        <v>24</v>
      </c>
      <c r="B22" s="1" t="s">
        <v>28</v>
      </c>
      <c r="C22" s="1" t="s">
        <v>41</v>
      </c>
      <c r="D22" s="1" t="s">
        <v>20</v>
      </c>
      <c r="E22" s="1" t="s">
        <v>50</v>
      </c>
      <c r="F22" s="1" t="s">
        <v>20</v>
      </c>
      <c r="G22" s="1" t="s">
        <v>20</v>
      </c>
      <c r="H22" s="1" t="s">
        <v>20</v>
      </c>
    </row>
    <row r="23" spans="1:8" ht="59" x14ac:dyDescent="0.75">
      <c r="A23" s="1" t="s">
        <v>21</v>
      </c>
      <c r="B23" s="1" t="s">
        <v>25</v>
      </c>
      <c r="C23" s="1" t="s">
        <v>42</v>
      </c>
      <c r="D23" s="1" t="s">
        <v>20</v>
      </c>
      <c r="E23" s="1" t="s">
        <v>20</v>
      </c>
      <c r="F23" s="1" t="s">
        <v>20</v>
      </c>
      <c r="G23" s="1" t="s">
        <v>20</v>
      </c>
      <c r="H23" s="1" t="s">
        <v>20</v>
      </c>
    </row>
    <row r="24" spans="1:8" ht="59" x14ac:dyDescent="0.75">
      <c r="A24" s="1" t="s">
        <v>21</v>
      </c>
      <c r="B24" s="1" t="s">
        <v>25</v>
      </c>
      <c r="C24" s="1" t="s">
        <v>23</v>
      </c>
      <c r="D24" s="1" t="s">
        <v>20</v>
      </c>
      <c r="E24" s="1" t="s">
        <v>20</v>
      </c>
      <c r="F24" s="1" t="s">
        <v>20</v>
      </c>
      <c r="G24" s="1" t="s">
        <v>20</v>
      </c>
      <c r="H24" s="1" t="s">
        <v>20</v>
      </c>
    </row>
    <row r="25" spans="1:8" ht="44.25" x14ac:dyDescent="0.75">
      <c r="A25" s="1" t="s">
        <v>24</v>
      </c>
      <c r="B25" s="1" t="s">
        <v>36</v>
      </c>
      <c r="C25" s="1" t="s">
        <v>26</v>
      </c>
      <c r="D25" s="1" t="s">
        <v>20</v>
      </c>
      <c r="E25" s="1" t="s">
        <v>51</v>
      </c>
      <c r="F25" s="1" t="s">
        <v>20</v>
      </c>
      <c r="G25" s="1" t="s">
        <v>20</v>
      </c>
      <c r="H25" s="1" t="s">
        <v>20</v>
      </c>
    </row>
    <row r="26" spans="1:8" ht="59" x14ac:dyDescent="0.75">
      <c r="A26" s="1" t="s">
        <v>21</v>
      </c>
      <c r="B26" s="1" t="s">
        <v>25</v>
      </c>
      <c r="C26" s="1" t="s">
        <v>42</v>
      </c>
      <c r="D26" s="1" t="s">
        <v>20</v>
      </c>
      <c r="E26" s="1" t="s">
        <v>52</v>
      </c>
      <c r="F26" s="1" t="s">
        <v>20</v>
      </c>
      <c r="G26" s="1" t="s">
        <v>20</v>
      </c>
      <c r="H26" s="1" t="s">
        <v>20</v>
      </c>
    </row>
    <row r="27" spans="1:8" ht="59" x14ac:dyDescent="0.75">
      <c r="A27" s="1" t="s">
        <v>31</v>
      </c>
      <c r="B27" s="1" t="s">
        <v>25</v>
      </c>
      <c r="C27" s="1" t="s">
        <v>42</v>
      </c>
      <c r="D27" s="1" t="s">
        <v>20</v>
      </c>
      <c r="E27" s="1" t="s">
        <v>20</v>
      </c>
      <c r="F27" s="1" t="s">
        <v>20</v>
      </c>
      <c r="G27" s="1" t="s">
        <v>53</v>
      </c>
      <c r="H27" s="1" t="s">
        <v>20</v>
      </c>
    </row>
    <row r="28" spans="1:8" ht="44.25" x14ac:dyDescent="0.75">
      <c r="A28" s="1" t="s">
        <v>24</v>
      </c>
      <c r="B28" s="1" t="s">
        <v>36</v>
      </c>
      <c r="C28" s="1" t="s">
        <v>26</v>
      </c>
      <c r="D28" s="1" t="s">
        <v>54</v>
      </c>
      <c r="E28" s="1" t="s">
        <v>20</v>
      </c>
      <c r="F28" s="1" t="s">
        <v>20</v>
      </c>
      <c r="G28" s="1" t="s">
        <v>20</v>
      </c>
      <c r="H28" s="1" t="s">
        <v>20</v>
      </c>
    </row>
    <row r="29" spans="1:8" ht="59" x14ac:dyDescent="0.75">
      <c r="A29" s="1" t="s">
        <v>21</v>
      </c>
      <c r="B29" s="1" t="s">
        <v>25</v>
      </c>
      <c r="C29" s="1" t="s">
        <v>42</v>
      </c>
      <c r="D29" s="1" t="s">
        <v>20</v>
      </c>
      <c r="E29" s="1" t="s">
        <v>20</v>
      </c>
      <c r="F29" s="1" t="s">
        <v>20</v>
      </c>
      <c r="G29" s="1" t="s">
        <v>20</v>
      </c>
      <c r="H29" s="1" t="s">
        <v>20</v>
      </c>
    </row>
    <row r="30" spans="1:8" ht="88.5" x14ac:dyDescent="0.75">
      <c r="A30" s="1" t="s">
        <v>21</v>
      </c>
      <c r="B30" s="1" t="s">
        <v>28</v>
      </c>
      <c r="C30" s="1" t="s">
        <v>44</v>
      </c>
      <c r="D30" s="1" t="s">
        <v>20</v>
      </c>
      <c r="E30" s="1" t="s">
        <v>20</v>
      </c>
      <c r="F30" s="1" t="s">
        <v>20</v>
      </c>
      <c r="G30" s="1" t="s">
        <v>20</v>
      </c>
      <c r="H30" s="1" t="s">
        <v>20</v>
      </c>
    </row>
    <row r="31" spans="1:8" ht="59" x14ac:dyDescent="0.75">
      <c r="A31" s="1" t="s">
        <v>24</v>
      </c>
      <c r="B31" s="1" t="s">
        <v>25</v>
      </c>
      <c r="C31" s="1" t="s">
        <v>55</v>
      </c>
      <c r="D31" s="1" t="s">
        <v>20</v>
      </c>
      <c r="E31" s="1" t="s">
        <v>20</v>
      </c>
      <c r="F31" s="1" t="s">
        <v>20</v>
      </c>
      <c r="G31" s="1" t="s">
        <v>20</v>
      </c>
      <c r="H31" s="1" t="s">
        <v>20</v>
      </c>
    </row>
    <row r="32" spans="1:8" ht="103.25" x14ac:dyDescent="0.75">
      <c r="A32" s="1" t="s">
        <v>21</v>
      </c>
      <c r="B32" s="1" t="s">
        <v>28</v>
      </c>
      <c r="C32" s="1" t="s">
        <v>29</v>
      </c>
      <c r="D32" s="1" t="s">
        <v>20</v>
      </c>
      <c r="E32" s="1" t="s">
        <v>20</v>
      </c>
      <c r="F32" s="1" t="s">
        <v>20</v>
      </c>
      <c r="G32" s="1" t="s">
        <v>20</v>
      </c>
      <c r="H32" s="1" t="s">
        <v>20</v>
      </c>
    </row>
    <row r="33" spans="1:8" ht="59" x14ac:dyDescent="0.75">
      <c r="A33" s="1" t="s">
        <v>21</v>
      </c>
      <c r="B33" s="1" t="s">
        <v>25</v>
      </c>
      <c r="C33" s="1" t="s">
        <v>42</v>
      </c>
      <c r="D33" s="1" t="s">
        <v>20</v>
      </c>
      <c r="E33" s="1" t="s">
        <v>20</v>
      </c>
      <c r="F33" s="1" t="s">
        <v>20</v>
      </c>
      <c r="G33" s="1" t="s">
        <v>20</v>
      </c>
      <c r="H33" s="1" t="s">
        <v>20</v>
      </c>
    </row>
    <row r="34" spans="1:8" ht="59" x14ac:dyDescent="0.75">
      <c r="A34" s="1" t="s">
        <v>21</v>
      </c>
      <c r="B34" s="1" t="s">
        <v>22</v>
      </c>
      <c r="C34" s="1" t="s">
        <v>56</v>
      </c>
      <c r="D34" s="1" t="s">
        <v>20</v>
      </c>
      <c r="E34" s="1" t="s">
        <v>20</v>
      </c>
      <c r="F34" s="1" t="s">
        <v>20</v>
      </c>
      <c r="G34" s="1" t="s">
        <v>20</v>
      </c>
      <c r="H34" s="1" t="s">
        <v>57</v>
      </c>
    </row>
    <row r="35" spans="1:8" ht="59" x14ac:dyDescent="0.75">
      <c r="A35" s="1" t="s">
        <v>24</v>
      </c>
      <c r="B35" s="1" t="s">
        <v>25</v>
      </c>
      <c r="C35" s="1" t="s">
        <v>26</v>
      </c>
      <c r="D35" s="1" t="s">
        <v>20</v>
      </c>
      <c r="E35" s="1" t="s">
        <v>58</v>
      </c>
      <c r="F35" s="1" t="s">
        <v>20</v>
      </c>
      <c r="G35" s="1" t="s">
        <v>20</v>
      </c>
      <c r="H35" s="1" t="s">
        <v>20</v>
      </c>
    </row>
    <row r="36" spans="1:8" ht="59" x14ac:dyDescent="0.75">
      <c r="A36" s="1" t="s">
        <v>24</v>
      </c>
      <c r="B36" s="1" t="s">
        <v>25</v>
      </c>
      <c r="C36" s="1" t="s">
        <v>42</v>
      </c>
      <c r="D36" s="1" t="s">
        <v>20</v>
      </c>
      <c r="E36" s="1" t="s">
        <v>20</v>
      </c>
      <c r="F36" s="1" t="s">
        <v>20</v>
      </c>
      <c r="G36" s="1" t="s">
        <v>20</v>
      </c>
      <c r="H36" s="1" t="s">
        <v>20</v>
      </c>
    </row>
    <row r="37" spans="1:8" ht="88.5" x14ac:dyDescent="0.75">
      <c r="A37" s="1" t="s">
        <v>21</v>
      </c>
      <c r="B37" s="1" t="s">
        <v>28</v>
      </c>
      <c r="C37" s="1" t="s">
        <v>40</v>
      </c>
      <c r="D37" s="1" t="s">
        <v>20</v>
      </c>
      <c r="E37" s="1" t="s">
        <v>20</v>
      </c>
      <c r="F37" s="1" t="s">
        <v>59</v>
      </c>
      <c r="G37" s="1" t="s">
        <v>20</v>
      </c>
      <c r="H37" s="1" t="s">
        <v>20</v>
      </c>
    </row>
    <row r="38" spans="1:8" ht="59" x14ac:dyDescent="0.75">
      <c r="A38" s="1" t="s">
        <v>24</v>
      </c>
      <c r="B38" s="1" t="s">
        <v>17</v>
      </c>
      <c r="C38" s="1" t="s">
        <v>35</v>
      </c>
      <c r="D38" s="1" t="s">
        <v>20</v>
      </c>
      <c r="E38" s="1" t="s">
        <v>20</v>
      </c>
      <c r="F38" s="1" t="s">
        <v>20</v>
      </c>
      <c r="G38" s="1" t="s">
        <v>20</v>
      </c>
      <c r="H38" s="1" t="s">
        <v>20</v>
      </c>
    </row>
    <row r="39" spans="1:8" ht="59" x14ac:dyDescent="0.75">
      <c r="A39" s="1" t="s">
        <v>21</v>
      </c>
      <c r="B39" s="1" t="s">
        <v>25</v>
      </c>
      <c r="C39" s="1" t="s">
        <v>41</v>
      </c>
      <c r="D39" s="1" t="s">
        <v>20</v>
      </c>
      <c r="E39" s="1" t="s">
        <v>20</v>
      </c>
      <c r="F39" s="1" t="s">
        <v>60</v>
      </c>
      <c r="G39" s="1" t="s">
        <v>20</v>
      </c>
      <c r="H39" s="1" t="s">
        <v>20</v>
      </c>
    </row>
    <row r="40" spans="1:8" ht="44.25" x14ac:dyDescent="0.75">
      <c r="A40" s="1" t="s">
        <v>61</v>
      </c>
      <c r="B40" s="1" t="s">
        <v>22</v>
      </c>
      <c r="C40" s="1" t="s">
        <v>62</v>
      </c>
      <c r="D40" s="1" t="s">
        <v>20</v>
      </c>
      <c r="E40" s="1" t="s">
        <v>20</v>
      </c>
      <c r="F40" s="1" t="s">
        <v>20</v>
      </c>
      <c r="G40" s="1" t="s">
        <v>20</v>
      </c>
      <c r="H40" s="1" t="s">
        <v>63</v>
      </c>
    </row>
    <row r="41" spans="1:8" ht="59" x14ac:dyDescent="0.75">
      <c r="A41" s="1" t="s">
        <v>16</v>
      </c>
      <c r="B41" s="1" t="s">
        <v>25</v>
      </c>
      <c r="C41" s="1" t="s">
        <v>62</v>
      </c>
      <c r="D41" s="1" t="s">
        <v>20</v>
      </c>
      <c r="E41" s="1" t="s">
        <v>20</v>
      </c>
      <c r="F41" s="1" t="s">
        <v>20</v>
      </c>
      <c r="G41" s="1" t="s">
        <v>20</v>
      </c>
      <c r="H41" s="1" t="s">
        <v>20</v>
      </c>
    </row>
    <row r="42" spans="1:8" ht="59" x14ac:dyDescent="0.75">
      <c r="A42" s="1" t="s">
        <v>64</v>
      </c>
      <c r="B42" s="1" t="s">
        <v>36</v>
      </c>
      <c r="C42" s="1" t="s">
        <v>40</v>
      </c>
      <c r="D42" s="1" t="s">
        <v>20</v>
      </c>
      <c r="E42" s="1" t="s">
        <v>20</v>
      </c>
      <c r="F42" s="1" t="s">
        <v>20</v>
      </c>
      <c r="G42" s="1" t="s">
        <v>20</v>
      </c>
      <c r="H42" s="1" t="s">
        <v>65</v>
      </c>
    </row>
    <row r="43" spans="1:8" ht="29.5" x14ac:dyDescent="0.75">
      <c r="A43" s="1" t="s">
        <v>31</v>
      </c>
      <c r="B43" s="1" t="s">
        <v>22</v>
      </c>
      <c r="C43" s="1" t="s">
        <v>38</v>
      </c>
      <c r="D43" s="1" t="s">
        <v>20</v>
      </c>
      <c r="E43" s="1" t="s">
        <v>20</v>
      </c>
      <c r="F43" s="1" t="s">
        <v>20</v>
      </c>
      <c r="G43" s="1" t="s">
        <v>20</v>
      </c>
      <c r="H43" s="1" t="s">
        <v>20</v>
      </c>
    </row>
    <row r="44" spans="1:8" ht="59" x14ac:dyDescent="0.75">
      <c r="A44" s="1" t="s">
        <v>16</v>
      </c>
      <c r="B44" s="1" t="s">
        <v>25</v>
      </c>
      <c r="C44" s="1" t="s">
        <v>40</v>
      </c>
      <c r="D44" s="1" t="s">
        <v>20</v>
      </c>
      <c r="E44" s="1" t="s">
        <v>20</v>
      </c>
      <c r="F44" s="1" t="s">
        <v>20</v>
      </c>
      <c r="G44" s="1" t="s">
        <v>20</v>
      </c>
      <c r="H44" s="1" t="s">
        <v>20</v>
      </c>
    </row>
    <row r="45" spans="1:8" ht="103.25" x14ac:dyDescent="0.75">
      <c r="A45" s="1" t="s">
        <v>24</v>
      </c>
      <c r="B45" s="1" t="s">
        <v>25</v>
      </c>
      <c r="C45" s="1" t="s">
        <v>29</v>
      </c>
      <c r="D45" s="1" t="s">
        <v>66</v>
      </c>
      <c r="E45" s="1" t="s">
        <v>20</v>
      </c>
      <c r="F45" s="1" t="s">
        <v>20</v>
      </c>
      <c r="G45" s="1" t="s">
        <v>20</v>
      </c>
      <c r="H45" s="1" t="s">
        <v>20</v>
      </c>
    </row>
    <row r="46" spans="1:8" ht="29.5" x14ac:dyDescent="0.75">
      <c r="A46" s="1" t="s">
        <v>24</v>
      </c>
      <c r="B46" s="1" t="s">
        <v>22</v>
      </c>
      <c r="C46" s="1" t="s">
        <v>26</v>
      </c>
      <c r="D46" s="1" t="s">
        <v>20</v>
      </c>
      <c r="E46" s="1" t="s">
        <v>20</v>
      </c>
      <c r="F46" s="1" t="s">
        <v>20</v>
      </c>
      <c r="G46" s="1" t="s">
        <v>20</v>
      </c>
      <c r="H46" s="1" t="s">
        <v>20</v>
      </c>
    </row>
    <row r="47" spans="1:8" ht="59" x14ac:dyDescent="0.75">
      <c r="A47" s="1" t="s">
        <v>21</v>
      </c>
      <c r="B47" s="1" t="s">
        <v>25</v>
      </c>
      <c r="C47" s="1" t="s">
        <v>44</v>
      </c>
      <c r="D47" s="1" t="s">
        <v>67</v>
      </c>
      <c r="E47" s="1" t="s">
        <v>20</v>
      </c>
      <c r="F47" s="1" t="s">
        <v>20</v>
      </c>
      <c r="G47" s="1" t="s">
        <v>20</v>
      </c>
      <c r="H47" s="1" t="s">
        <v>20</v>
      </c>
    </row>
    <row r="48" spans="1:8" ht="88.5" x14ac:dyDescent="0.75">
      <c r="A48" s="1" t="s">
        <v>21</v>
      </c>
      <c r="B48" s="1" t="s">
        <v>28</v>
      </c>
      <c r="C48" s="1" t="s">
        <v>26</v>
      </c>
      <c r="D48" s="1" t="s">
        <v>68</v>
      </c>
      <c r="E48" s="1" t="s">
        <v>20</v>
      </c>
      <c r="F48" s="1" t="s">
        <v>20</v>
      </c>
      <c r="G48" s="1" t="s">
        <v>20</v>
      </c>
      <c r="H48" s="1" t="s">
        <v>20</v>
      </c>
    </row>
    <row r="49" spans="1:8" ht="59" x14ac:dyDescent="0.75">
      <c r="A49" s="1" t="s">
        <v>16</v>
      </c>
      <c r="B49" s="1" t="s">
        <v>36</v>
      </c>
      <c r="C49" s="1" t="s">
        <v>69</v>
      </c>
      <c r="D49" s="1" t="s">
        <v>20</v>
      </c>
      <c r="E49" s="1" t="s">
        <v>70</v>
      </c>
      <c r="F49" s="1" t="s">
        <v>20</v>
      </c>
      <c r="G49" s="1" t="s">
        <v>20</v>
      </c>
      <c r="H49" s="1" t="s">
        <v>20</v>
      </c>
    </row>
    <row r="50" spans="1:8" ht="44.25" x14ac:dyDescent="0.75">
      <c r="A50" s="1" t="s">
        <v>16</v>
      </c>
      <c r="B50" s="1" t="s">
        <v>36</v>
      </c>
      <c r="C50" s="1" t="s">
        <v>42</v>
      </c>
      <c r="D50" s="1" t="s">
        <v>20</v>
      </c>
      <c r="E50" s="1" t="s">
        <v>20</v>
      </c>
      <c r="F50" s="1" t="s">
        <v>71</v>
      </c>
      <c r="G50" s="1" t="s">
        <v>20</v>
      </c>
      <c r="H50" s="1" t="s">
        <v>20</v>
      </c>
    </row>
    <row r="51" spans="1:8" ht="59" x14ac:dyDescent="0.75">
      <c r="A51" s="1" t="s">
        <v>16</v>
      </c>
      <c r="B51" s="1" t="s">
        <v>25</v>
      </c>
      <c r="C51" s="1" t="s">
        <v>42</v>
      </c>
      <c r="D51" s="1" t="s">
        <v>20</v>
      </c>
      <c r="E51" s="1" t="s">
        <v>20</v>
      </c>
      <c r="F51" s="1" t="s">
        <v>20</v>
      </c>
      <c r="G51" s="1" t="s">
        <v>20</v>
      </c>
      <c r="H51" s="1" t="s">
        <v>20</v>
      </c>
    </row>
    <row r="52" spans="1:8" ht="88.5" x14ac:dyDescent="0.75">
      <c r="A52" s="1" t="s">
        <v>21</v>
      </c>
      <c r="B52" s="1" t="s">
        <v>28</v>
      </c>
      <c r="C52" s="1" t="s">
        <v>55</v>
      </c>
      <c r="D52" s="1" t="s">
        <v>20</v>
      </c>
      <c r="E52" s="1" t="s">
        <v>20</v>
      </c>
      <c r="F52" s="1" t="s">
        <v>72</v>
      </c>
      <c r="G52" s="1" t="s">
        <v>20</v>
      </c>
      <c r="H52" s="1" t="s">
        <v>20</v>
      </c>
    </row>
    <row r="53" spans="1:8" ht="59" x14ac:dyDescent="0.75">
      <c r="A53" s="1" t="s">
        <v>24</v>
      </c>
      <c r="B53" s="1" t="s">
        <v>25</v>
      </c>
      <c r="C53" s="1" t="s">
        <v>46</v>
      </c>
      <c r="D53" s="1" t="s">
        <v>20</v>
      </c>
      <c r="E53" s="1" t="s">
        <v>20</v>
      </c>
      <c r="F53" s="1" t="s">
        <v>20</v>
      </c>
      <c r="G53" s="1" t="s">
        <v>73</v>
      </c>
      <c r="H53" s="1" t="s">
        <v>20</v>
      </c>
    </row>
    <row r="54" spans="1:8" ht="88.5" x14ac:dyDescent="0.75">
      <c r="A54" s="1" t="s">
        <v>31</v>
      </c>
      <c r="B54" s="1" t="s">
        <v>74</v>
      </c>
      <c r="C54" s="1" t="s">
        <v>44</v>
      </c>
      <c r="D54" s="1" t="s">
        <v>20</v>
      </c>
      <c r="E54" s="1" t="s">
        <v>20</v>
      </c>
      <c r="F54" s="1" t="s">
        <v>20</v>
      </c>
      <c r="G54" s="1" t="s">
        <v>20</v>
      </c>
      <c r="H54" s="1" t="s">
        <v>75</v>
      </c>
    </row>
    <row r="55" spans="1:8" ht="59" x14ac:dyDescent="0.75">
      <c r="A55" s="1" t="s">
        <v>61</v>
      </c>
      <c r="B55" s="1" t="s">
        <v>25</v>
      </c>
      <c r="C55" s="1" t="s">
        <v>46</v>
      </c>
      <c r="D55" s="1" t="s">
        <v>20</v>
      </c>
      <c r="E55" s="1" t="s">
        <v>20</v>
      </c>
      <c r="F55" s="1" t="s">
        <v>20</v>
      </c>
      <c r="G55" s="1" t="s">
        <v>20</v>
      </c>
      <c r="H55" s="1" t="s">
        <v>20</v>
      </c>
    </row>
    <row r="56" spans="1:8" ht="88.5" x14ac:dyDescent="0.75">
      <c r="A56" s="1" t="s">
        <v>21</v>
      </c>
      <c r="B56" s="1" t="s">
        <v>32</v>
      </c>
      <c r="C56" s="1" t="s">
        <v>76</v>
      </c>
      <c r="D56" s="1" t="s">
        <v>77</v>
      </c>
      <c r="E56" s="1" t="s">
        <v>20</v>
      </c>
      <c r="F56" s="1" t="s">
        <v>20</v>
      </c>
      <c r="G56" s="1" t="s">
        <v>20</v>
      </c>
      <c r="H56" s="1" t="s">
        <v>20</v>
      </c>
    </row>
    <row r="57" spans="1:8" ht="88.5" x14ac:dyDescent="0.75">
      <c r="A57" s="1" t="s">
        <v>24</v>
      </c>
      <c r="B57" s="1" t="s">
        <v>28</v>
      </c>
      <c r="C57" s="1" t="s">
        <v>44</v>
      </c>
      <c r="D57" s="1" t="s">
        <v>20</v>
      </c>
      <c r="E57" s="1" t="s">
        <v>20</v>
      </c>
      <c r="F57" s="1" t="s">
        <v>20</v>
      </c>
      <c r="G57" s="1" t="s">
        <v>78</v>
      </c>
      <c r="H57" s="1" t="s">
        <v>20</v>
      </c>
    </row>
    <row r="58" spans="1:8" ht="29.5" x14ac:dyDescent="0.75">
      <c r="A58" s="1" t="s">
        <v>21</v>
      </c>
      <c r="B58" s="1" t="s">
        <v>22</v>
      </c>
      <c r="C58" s="1" t="s">
        <v>26</v>
      </c>
      <c r="D58" s="1" t="s">
        <v>20</v>
      </c>
      <c r="E58" s="1" t="s">
        <v>20</v>
      </c>
      <c r="F58" s="1" t="s">
        <v>20</v>
      </c>
      <c r="G58" s="1" t="s">
        <v>20</v>
      </c>
      <c r="H58" s="1" t="s">
        <v>20</v>
      </c>
    </row>
    <row r="59" spans="1:8" ht="88.5" x14ac:dyDescent="0.75">
      <c r="A59" s="1" t="s">
        <v>61</v>
      </c>
      <c r="B59" s="1" t="s">
        <v>28</v>
      </c>
      <c r="C59" s="1" t="s">
        <v>38</v>
      </c>
      <c r="D59" s="1" t="s">
        <v>20</v>
      </c>
      <c r="E59" s="1" t="s">
        <v>20</v>
      </c>
      <c r="F59" s="1" t="s">
        <v>20</v>
      </c>
      <c r="G59" s="1" t="s">
        <v>20</v>
      </c>
      <c r="H59" s="1" t="s">
        <v>20</v>
      </c>
    </row>
    <row r="60" spans="1:8" ht="44.25" x14ac:dyDescent="0.75">
      <c r="A60" s="1" t="s">
        <v>79</v>
      </c>
      <c r="B60" s="1" t="s">
        <v>22</v>
      </c>
      <c r="C60" s="1" t="s">
        <v>38</v>
      </c>
      <c r="D60" s="1" t="s">
        <v>20</v>
      </c>
      <c r="E60" s="1" t="s">
        <v>80</v>
      </c>
      <c r="F60" s="1" t="s">
        <v>20</v>
      </c>
      <c r="G60" s="1" t="s">
        <v>20</v>
      </c>
      <c r="H60" s="1" t="s">
        <v>20</v>
      </c>
    </row>
    <row r="61" spans="1:8" ht="59" x14ac:dyDescent="0.75">
      <c r="A61" s="1" t="s">
        <v>64</v>
      </c>
      <c r="B61" s="1" t="s">
        <v>25</v>
      </c>
      <c r="C61" s="1" t="s">
        <v>81</v>
      </c>
      <c r="D61" s="1" t="s">
        <v>20</v>
      </c>
      <c r="E61" s="1" t="s">
        <v>20</v>
      </c>
      <c r="F61" s="1" t="s">
        <v>20</v>
      </c>
      <c r="G61" s="1" t="s">
        <v>82</v>
      </c>
      <c r="H61" s="1" t="s">
        <v>20</v>
      </c>
    </row>
    <row r="62" spans="1:8" ht="44.25" x14ac:dyDescent="0.75">
      <c r="A62" s="1" t="s">
        <v>24</v>
      </c>
      <c r="B62" s="1" t="s">
        <v>22</v>
      </c>
      <c r="C62" s="1" t="s">
        <v>62</v>
      </c>
      <c r="D62" s="1" t="s">
        <v>20</v>
      </c>
      <c r="E62" s="1" t="s">
        <v>20</v>
      </c>
      <c r="F62" s="1" t="s">
        <v>20</v>
      </c>
      <c r="G62" s="1" t="s">
        <v>20</v>
      </c>
      <c r="H62" s="1" t="s">
        <v>20</v>
      </c>
    </row>
    <row r="63" spans="1:8" ht="88.5" x14ac:dyDescent="0.75">
      <c r="A63" s="1" t="s">
        <v>21</v>
      </c>
      <c r="B63" s="1" t="s">
        <v>28</v>
      </c>
      <c r="C63" s="1" t="s">
        <v>26</v>
      </c>
      <c r="D63" s="1" t="s">
        <v>20</v>
      </c>
      <c r="E63" s="1" t="s">
        <v>20</v>
      </c>
      <c r="F63" s="1" t="s">
        <v>20</v>
      </c>
      <c r="G63" s="1" t="s">
        <v>20</v>
      </c>
      <c r="H63" s="1" t="s">
        <v>20</v>
      </c>
    </row>
    <row r="64" spans="1:8" ht="73.75" x14ac:dyDescent="0.75">
      <c r="A64" s="1" t="s">
        <v>16</v>
      </c>
      <c r="B64" s="1" t="s">
        <v>17</v>
      </c>
      <c r="C64" s="1" t="s">
        <v>47</v>
      </c>
      <c r="D64" s="1" t="s">
        <v>20</v>
      </c>
      <c r="E64" s="1" t="s">
        <v>20</v>
      </c>
      <c r="F64" s="1" t="s">
        <v>20</v>
      </c>
      <c r="G64" s="1" t="s">
        <v>20</v>
      </c>
      <c r="H64" s="1" t="s">
        <v>20</v>
      </c>
    </row>
    <row r="65" spans="1:8" ht="59" x14ac:dyDescent="0.75">
      <c r="A65" s="1" t="s">
        <v>64</v>
      </c>
      <c r="B65" s="1" t="s">
        <v>25</v>
      </c>
      <c r="C65" s="1" t="s">
        <v>55</v>
      </c>
      <c r="D65" s="1" t="s">
        <v>20</v>
      </c>
      <c r="E65" s="1" t="s">
        <v>20</v>
      </c>
      <c r="F65" s="1" t="s">
        <v>20</v>
      </c>
      <c r="G65" s="1" t="s">
        <v>20</v>
      </c>
      <c r="H65" s="1" t="s">
        <v>20</v>
      </c>
    </row>
    <row r="66" spans="1:8" ht="59" x14ac:dyDescent="0.75">
      <c r="A66" s="1" t="s">
        <v>21</v>
      </c>
      <c r="B66" s="1" t="s">
        <v>17</v>
      </c>
      <c r="C66" s="1" t="s">
        <v>42</v>
      </c>
      <c r="D66" s="1" t="s">
        <v>20</v>
      </c>
      <c r="E66" s="1" t="s">
        <v>20</v>
      </c>
      <c r="F66" s="1" t="s">
        <v>20</v>
      </c>
      <c r="G66" s="1" t="s">
        <v>20</v>
      </c>
      <c r="H66" s="1" t="s">
        <v>20</v>
      </c>
    </row>
    <row r="67" spans="1:8" ht="59" x14ac:dyDescent="0.75">
      <c r="A67" s="1" t="s">
        <v>21</v>
      </c>
      <c r="B67" s="1" t="s">
        <v>17</v>
      </c>
      <c r="C67" s="1" t="s">
        <v>44</v>
      </c>
      <c r="D67" s="1" t="s">
        <v>20</v>
      </c>
      <c r="E67" s="1" t="s">
        <v>20</v>
      </c>
      <c r="F67" s="1" t="s">
        <v>20</v>
      </c>
      <c r="G67" s="1" t="s">
        <v>20</v>
      </c>
      <c r="H67" s="1" t="s">
        <v>20</v>
      </c>
    </row>
    <row r="68" spans="1:8" ht="44.25" x14ac:dyDescent="0.75">
      <c r="A68" s="1" t="s">
        <v>24</v>
      </c>
      <c r="B68" s="1" t="s">
        <v>22</v>
      </c>
      <c r="C68" s="1" t="s">
        <v>41</v>
      </c>
      <c r="D68" s="1" t="s">
        <v>20</v>
      </c>
      <c r="E68" s="1" t="s">
        <v>20</v>
      </c>
      <c r="F68" s="1" t="s">
        <v>20</v>
      </c>
      <c r="G68" s="1" t="s">
        <v>20</v>
      </c>
      <c r="H68" s="1" t="s">
        <v>20</v>
      </c>
    </row>
    <row r="69" spans="1:8" ht="59" x14ac:dyDescent="0.75">
      <c r="A69" s="1" t="s">
        <v>16</v>
      </c>
      <c r="B69" s="1" t="s">
        <v>17</v>
      </c>
      <c r="C69" s="1" t="s">
        <v>42</v>
      </c>
      <c r="D69" s="1" t="s">
        <v>20</v>
      </c>
      <c r="E69" s="1" t="s">
        <v>20</v>
      </c>
      <c r="F69" s="1" t="s">
        <v>20</v>
      </c>
      <c r="G69" s="1" t="s">
        <v>20</v>
      </c>
      <c r="H69" s="1" t="s">
        <v>20</v>
      </c>
    </row>
    <row r="70" spans="1:8" ht="59" x14ac:dyDescent="0.75">
      <c r="A70" s="1" t="s">
        <v>64</v>
      </c>
      <c r="B70" s="1" t="s">
        <v>17</v>
      </c>
      <c r="C70" s="1" t="s">
        <v>42</v>
      </c>
      <c r="D70" s="1" t="s">
        <v>20</v>
      </c>
      <c r="E70" s="1" t="s">
        <v>20</v>
      </c>
      <c r="F70" s="1" t="s">
        <v>20</v>
      </c>
      <c r="G70" s="1" t="s">
        <v>20</v>
      </c>
      <c r="H70" s="1" t="s">
        <v>20</v>
      </c>
    </row>
    <row r="71" spans="1:8" ht="88.5" x14ac:dyDescent="0.75">
      <c r="A71" s="1" t="s">
        <v>64</v>
      </c>
      <c r="B71" s="1" t="s">
        <v>32</v>
      </c>
      <c r="C71" s="1" t="s">
        <v>18</v>
      </c>
      <c r="D71" s="1" t="s">
        <v>20</v>
      </c>
      <c r="E71" s="1" t="s">
        <v>20</v>
      </c>
      <c r="F71" s="1" t="s">
        <v>20</v>
      </c>
      <c r="G71" s="1" t="s">
        <v>83</v>
      </c>
      <c r="H71" s="1" t="s">
        <v>20</v>
      </c>
    </row>
    <row r="72" spans="1:8" ht="59" x14ac:dyDescent="0.75">
      <c r="A72" s="1" t="s">
        <v>24</v>
      </c>
      <c r="B72" s="1" t="s">
        <v>25</v>
      </c>
      <c r="C72" s="1" t="s">
        <v>42</v>
      </c>
      <c r="D72" s="1" t="s">
        <v>20</v>
      </c>
      <c r="E72" s="1" t="s">
        <v>20</v>
      </c>
      <c r="F72" s="1" t="s">
        <v>20</v>
      </c>
      <c r="G72" s="1" t="s">
        <v>20</v>
      </c>
      <c r="H72" s="1" t="s">
        <v>20</v>
      </c>
    </row>
    <row r="73" spans="1:8" ht="88.5" x14ac:dyDescent="0.75">
      <c r="A73" s="1" t="s">
        <v>24</v>
      </c>
      <c r="B73" s="1" t="s">
        <v>32</v>
      </c>
      <c r="C73" s="1" t="s">
        <v>42</v>
      </c>
      <c r="D73" s="1" t="s">
        <v>20</v>
      </c>
      <c r="E73" s="1" t="s">
        <v>20</v>
      </c>
      <c r="F73" s="1" t="s">
        <v>20</v>
      </c>
      <c r="G73" s="1" t="s">
        <v>84</v>
      </c>
      <c r="H73" s="1" t="s">
        <v>20</v>
      </c>
    </row>
    <row r="74" spans="1:8" ht="88.5" x14ac:dyDescent="0.75">
      <c r="A74" s="1" t="s">
        <v>21</v>
      </c>
      <c r="B74" s="1" t="s">
        <v>74</v>
      </c>
      <c r="C74" s="1" t="s">
        <v>81</v>
      </c>
      <c r="D74" s="1" t="s">
        <v>20</v>
      </c>
      <c r="E74" s="1" t="s">
        <v>20</v>
      </c>
      <c r="F74" s="1" t="s">
        <v>20</v>
      </c>
      <c r="G74" s="1" t="s">
        <v>20</v>
      </c>
      <c r="H74" s="1" t="s">
        <v>20</v>
      </c>
    </row>
    <row r="75" spans="1:8" ht="103.25" x14ac:dyDescent="0.75">
      <c r="A75" s="1" t="s">
        <v>21</v>
      </c>
      <c r="B75" s="1" t="s">
        <v>25</v>
      </c>
      <c r="C75" s="1" t="s">
        <v>29</v>
      </c>
      <c r="D75" s="1" t="s">
        <v>20</v>
      </c>
      <c r="E75" s="1" t="s">
        <v>85</v>
      </c>
      <c r="F75" s="1" t="s">
        <v>20</v>
      </c>
      <c r="G75" s="1" t="s">
        <v>20</v>
      </c>
      <c r="H75" s="1" t="s">
        <v>20</v>
      </c>
    </row>
    <row r="76" spans="1:8" ht="88.5" x14ac:dyDescent="0.75">
      <c r="A76" s="1" t="s">
        <v>24</v>
      </c>
      <c r="B76" s="1" t="s">
        <v>32</v>
      </c>
      <c r="C76" s="1" t="s">
        <v>41</v>
      </c>
      <c r="D76" s="1" t="s">
        <v>20</v>
      </c>
      <c r="E76" s="1" t="s">
        <v>20</v>
      </c>
      <c r="F76" s="1" t="s">
        <v>20</v>
      </c>
      <c r="G76" s="1" t="s">
        <v>20</v>
      </c>
      <c r="H76" s="1" t="s">
        <v>20</v>
      </c>
    </row>
    <row r="77" spans="1:8" ht="59" x14ac:dyDescent="0.75">
      <c r="A77" s="1" t="s">
        <v>21</v>
      </c>
      <c r="B77" s="1" t="s">
        <v>25</v>
      </c>
      <c r="C77" s="1" t="s">
        <v>81</v>
      </c>
      <c r="D77" s="1" t="s">
        <v>20</v>
      </c>
      <c r="E77" s="1" t="s">
        <v>20</v>
      </c>
      <c r="F77" s="1" t="s">
        <v>20</v>
      </c>
      <c r="G77" s="1" t="s">
        <v>20</v>
      </c>
      <c r="H77" s="1" t="s">
        <v>20</v>
      </c>
    </row>
    <row r="78" spans="1:8" ht="59" x14ac:dyDescent="0.75">
      <c r="A78" s="1" t="s">
        <v>64</v>
      </c>
      <c r="B78" s="1" t="s">
        <v>25</v>
      </c>
      <c r="C78" s="1" t="s">
        <v>55</v>
      </c>
      <c r="D78" s="1" t="s">
        <v>20</v>
      </c>
      <c r="E78" s="1" t="s">
        <v>86</v>
      </c>
      <c r="F78" s="1" t="s">
        <v>20</v>
      </c>
      <c r="G78" s="1" t="s">
        <v>20</v>
      </c>
      <c r="H78" s="1" t="s">
        <v>20</v>
      </c>
    </row>
    <row r="79" spans="1:8" ht="88.5" x14ac:dyDescent="0.75">
      <c r="A79" s="1" t="s">
        <v>21</v>
      </c>
      <c r="B79" s="1" t="s">
        <v>32</v>
      </c>
      <c r="C79" s="1" t="s">
        <v>34</v>
      </c>
      <c r="D79" s="1" t="s">
        <v>20</v>
      </c>
      <c r="E79" s="1" t="s">
        <v>20</v>
      </c>
      <c r="F79" s="1" t="s">
        <v>20</v>
      </c>
      <c r="G79" s="1" t="s">
        <v>87</v>
      </c>
      <c r="H79" s="1" t="s">
        <v>20</v>
      </c>
    </row>
    <row r="80" spans="1:8" ht="88.5" x14ac:dyDescent="0.75">
      <c r="A80" s="1" t="s">
        <v>31</v>
      </c>
      <c r="B80" s="1" t="s">
        <v>32</v>
      </c>
      <c r="C80" s="1" t="s">
        <v>42</v>
      </c>
      <c r="D80" s="1" t="s">
        <v>20</v>
      </c>
      <c r="E80" s="1" t="s">
        <v>20</v>
      </c>
      <c r="F80" s="1" t="s">
        <v>88</v>
      </c>
      <c r="G80" s="1" t="s">
        <v>20</v>
      </c>
      <c r="H80" s="1" t="s">
        <v>20</v>
      </c>
    </row>
    <row r="81" spans="1:8" ht="59" x14ac:dyDescent="0.75">
      <c r="A81" s="1" t="s">
        <v>64</v>
      </c>
      <c r="B81" s="1" t="s">
        <v>25</v>
      </c>
      <c r="C81" s="1" t="s">
        <v>18</v>
      </c>
      <c r="D81" s="1" t="s">
        <v>20</v>
      </c>
      <c r="E81" s="1" t="s">
        <v>20</v>
      </c>
      <c r="F81" s="1" t="s">
        <v>20</v>
      </c>
      <c r="G81" s="1" t="s">
        <v>20</v>
      </c>
      <c r="H81" s="1" t="s">
        <v>20</v>
      </c>
    </row>
    <row r="82" spans="1:8" ht="88.5" x14ac:dyDescent="0.75">
      <c r="A82" s="1" t="s">
        <v>31</v>
      </c>
      <c r="B82" s="1" t="s">
        <v>28</v>
      </c>
      <c r="C82" s="1" t="s">
        <v>38</v>
      </c>
      <c r="D82" s="1" t="s">
        <v>20</v>
      </c>
      <c r="E82" s="1" t="s">
        <v>20</v>
      </c>
      <c r="F82" s="1" t="s">
        <v>20</v>
      </c>
      <c r="G82" s="1" t="s">
        <v>20</v>
      </c>
      <c r="H82" s="1" t="s">
        <v>89</v>
      </c>
    </row>
    <row r="83" spans="1:8" ht="88.5" x14ac:dyDescent="0.75">
      <c r="A83" s="1" t="s">
        <v>64</v>
      </c>
      <c r="B83" s="1" t="s">
        <v>32</v>
      </c>
      <c r="C83" s="1" t="s">
        <v>40</v>
      </c>
      <c r="D83" s="1" t="s">
        <v>20</v>
      </c>
      <c r="E83" s="1" t="s">
        <v>20</v>
      </c>
      <c r="F83" s="1" t="s">
        <v>20</v>
      </c>
      <c r="G83" s="1" t="s">
        <v>20</v>
      </c>
      <c r="H83" s="1" t="s">
        <v>90</v>
      </c>
    </row>
    <row r="84" spans="1:8" ht="59" x14ac:dyDescent="0.75">
      <c r="A84" s="1" t="s">
        <v>24</v>
      </c>
      <c r="B84" s="1" t="s">
        <v>17</v>
      </c>
      <c r="C84" s="1" t="s">
        <v>34</v>
      </c>
      <c r="D84" s="1" t="s">
        <v>20</v>
      </c>
      <c r="E84" s="1" t="s">
        <v>20</v>
      </c>
      <c r="F84" s="1" t="s">
        <v>20</v>
      </c>
      <c r="G84" s="1" t="s">
        <v>20</v>
      </c>
      <c r="H84" s="1" t="s">
        <v>91</v>
      </c>
    </row>
    <row r="85" spans="1:8" ht="29.5" x14ac:dyDescent="0.75">
      <c r="A85" s="1" t="s">
        <v>16</v>
      </c>
      <c r="B85" s="1" t="s">
        <v>22</v>
      </c>
      <c r="C85" s="1" t="s">
        <v>38</v>
      </c>
      <c r="D85" s="1" t="s">
        <v>20</v>
      </c>
      <c r="E85" s="1" t="s">
        <v>20</v>
      </c>
      <c r="F85" s="1" t="s">
        <v>20</v>
      </c>
      <c r="G85" s="1" t="s">
        <v>20</v>
      </c>
      <c r="H85" s="1" t="s">
        <v>20</v>
      </c>
    </row>
    <row r="86" spans="1:8" ht="88.5" x14ac:dyDescent="0.75">
      <c r="A86" s="1" t="s">
        <v>16</v>
      </c>
      <c r="B86" s="1" t="s">
        <v>32</v>
      </c>
      <c r="C86" s="1" t="s">
        <v>69</v>
      </c>
      <c r="D86" s="1" t="s">
        <v>20</v>
      </c>
      <c r="E86" s="1" t="s">
        <v>20</v>
      </c>
      <c r="F86" s="1" t="s">
        <v>20</v>
      </c>
      <c r="G86" s="1" t="s">
        <v>92</v>
      </c>
      <c r="H86" s="1" t="s">
        <v>20</v>
      </c>
    </row>
    <row r="87" spans="1:8" ht="59" x14ac:dyDescent="0.75">
      <c r="A87" s="1" t="s">
        <v>16</v>
      </c>
      <c r="B87" s="1" t="s">
        <v>17</v>
      </c>
      <c r="C87" s="1" t="s">
        <v>42</v>
      </c>
      <c r="D87" s="1" t="s">
        <v>20</v>
      </c>
      <c r="E87" s="1" t="s">
        <v>20</v>
      </c>
      <c r="F87" s="1" t="s">
        <v>20</v>
      </c>
      <c r="G87" s="1" t="s">
        <v>20</v>
      </c>
      <c r="H87" s="1" t="s">
        <v>20</v>
      </c>
    </row>
    <row r="88" spans="1:8" ht="44.25" x14ac:dyDescent="0.75">
      <c r="A88" s="1" t="s">
        <v>61</v>
      </c>
      <c r="B88" s="1" t="s">
        <v>36</v>
      </c>
      <c r="C88" s="1" t="s">
        <v>38</v>
      </c>
      <c r="D88" s="1" t="s">
        <v>20</v>
      </c>
      <c r="E88" s="1" t="s">
        <v>20</v>
      </c>
      <c r="F88" s="1" t="s">
        <v>20</v>
      </c>
      <c r="G88" s="1" t="s">
        <v>20</v>
      </c>
      <c r="H88" s="1" t="s">
        <v>20</v>
      </c>
    </row>
    <row r="89" spans="1:8" ht="44.25" x14ac:dyDescent="0.75">
      <c r="A89" s="1" t="s">
        <v>64</v>
      </c>
      <c r="B89" s="1" t="s">
        <v>36</v>
      </c>
      <c r="C89" s="1" t="s">
        <v>62</v>
      </c>
      <c r="D89" s="1" t="s">
        <v>20</v>
      </c>
      <c r="E89" s="1" t="s">
        <v>20</v>
      </c>
      <c r="F89" s="1" t="s">
        <v>93</v>
      </c>
      <c r="G89" s="1" t="s">
        <v>20</v>
      </c>
      <c r="H89" s="1" t="s">
        <v>20</v>
      </c>
    </row>
    <row r="90" spans="1:8" ht="44.25" x14ac:dyDescent="0.75">
      <c r="A90" s="1" t="s">
        <v>64</v>
      </c>
      <c r="B90" s="1" t="s">
        <v>36</v>
      </c>
      <c r="C90" s="1" t="s">
        <v>44</v>
      </c>
      <c r="D90" s="1" t="s">
        <v>20</v>
      </c>
      <c r="E90" s="1" t="s">
        <v>20</v>
      </c>
      <c r="F90" s="1" t="s">
        <v>94</v>
      </c>
      <c r="G90" s="1" t="s">
        <v>20</v>
      </c>
      <c r="H90" s="1" t="s">
        <v>20</v>
      </c>
    </row>
    <row r="91" spans="1:8" ht="88.5" x14ac:dyDescent="0.75">
      <c r="A91" s="1" t="s">
        <v>61</v>
      </c>
      <c r="B91" s="1" t="s">
        <v>74</v>
      </c>
      <c r="C91" s="1" t="s">
        <v>38</v>
      </c>
      <c r="D91" s="1" t="s">
        <v>20</v>
      </c>
      <c r="E91" s="1" t="s">
        <v>20</v>
      </c>
      <c r="F91" s="1" t="s">
        <v>20</v>
      </c>
      <c r="G91" s="1" t="s">
        <v>20</v>
      </c>
      <c r="H91" s="1" t="s">
        <v>20</v>
      </c>
    </row>
    <row r="92" spans="1:8" ht="59" x14ac:dyDescent="0.75">
      <c r="A92" s="1" t="s">
        <v>16</v>
      </c>
      <c r="B92" s="1" t="s">
        <v>17</v>
      </c>
      <c r="C92" s="1" t="s">
        <v>26</v>
      </c>
      <c r="D92" s="1" t="s">
        <v>95</v>
      </c>
      <c r="E92" s="1" t="s">
        <v>20</v>
      </c>
      <c r="F92" s="1" t="s">
        <v>20</v>
      </c>
      <c r="G92" s="1" t="s">
        <v>20</v>
      </c>
      <c r="H92" s="1" t="s">
        <v>20</v>
      </c>
    </row>
    <row r="93" spans="1:8" ht="73.75" x14ac:dyDescent="0.75">
      <c r="A93" s="1" t="s">
        <v>21</v>
      </c>
      <c r="B93" s="1" t="s">
        <v>25</v>
      </c>
      <c r="C93" s="1" t="s">
        <v>47</v>
      </c>
      <c r="D93" s="1" t="s">
        <v>96</v>
      </c>
      <c r="E93" s="1" t="s">
        <v>20</v>
      </c>
      <c r="F93" s="1" t="s">
        <v>20</v>
      </c>
      <c r="G93" s="1" t="s">
        <v>20</v>
      </c>
      <c r="H93" s="1" t="s">
        <v>20</v>
      </c>
    </row>
    <row r="94" spans="1:8" ht="88.5" x14ac:dyDescent="0.75">
      <c r="A94" s="1" t="s">
        <v>24</v>
      </c>
      <c r="B94" s="1" t="s">
        <v>74</v>
      </c>
      <c r="C94" s="1" t="s">
        <v>26</v>
      </c>
      <c r="D94" s="1" t="s">
        <v>20</v>
      </c>
      <c r="E94" s="1" t="s">
        <v>20</v>
      </c>
      <c r="F94" s="1" t="s">
        <v>20</v>
      </c>
      <c r="G94" s="1" t="s">
        <v>97</v>
      </c>
      <c r="H94" s="1" t="s">
        <v>20</v>
      </c>
    </row>
    <row r="95" spans="1:8" ht="59" x14ac:dyDescent="0.75">
      <c r="A95" s="1" t="s">
        <v>21</v>
      </c>
      <c r="B95" s="1" t="s">
        <v>25</v>
      </c>
      <c r="C95" s="1" t="s">
        <v>98</v>
      </c>
      <c r="D95" s="1" t="s">
        <v>20</v>
      </c>
      <c r="E95" s="1" t="s">
        <v>20</v>
      </c>
      <c r="F95" s="1" t="s">
        <v>20</v>
      </c>
      <c r="G95" s="1" t="s">
        <v>20</v>
      </c>
      <c r="H95" s="1" t="s">
        <v>20</v>
      </c>
    </row>
    <row r="96" spans="1:8" ht="44.25" x14ac:dyDescent="0.75">
      <c r="A96" s="1" t="s">
        <v>64</v>
      </c>
      <c r="B96" s="1" t="s">
        <v>36</v>
      </c>
      <c r="C96" s="1" t="s">
        <v>81</v>
      </c>
      <c r="D96" s="1" t="s">
        <v>20</v>
      </c>
      <c r="E96" s="1" t="s">
        <v>20</v>
      </c>
      <c r="F96" s="1" t="s">
        <v>20</v>
      </c>
      <c r="G96" s="1" t="s">
        <v>20</v>
      </c>
      <c r="H96" s="1" t="s">
        <v>20</v>
      </c>
    </row>
    <row r="97" spans="1:8" ht="59" x14ac:dyDescent="0.75">
      <c r="A97" s="1" t="s">
        <v>24</v>
      </c>
      <c r="B97" s="1" t="s">
        <v>17</v>
      </c>
      <c r="C97" s="1" t="s">
        <v>55</v>
      </c>
      <c r="D97" s="1" t="s">
        <v>20</v>
      </c>
      <c r="E97" s="1" t="s">
        <v>20</v>
      </c>
      <c r="F97" s="1" t="s">
        <v>20</v>
      </c>
      <c r="G97" s="1" t="s">
        <v>20</v>
      </c>
      <c r="H97" s="1" t="s">
        <v>20</v>
      </c>
    </row>
    <row r="98" spans="1:8" ht="59" x14ac:dyDescent="0.75">
      <c r="A98" s="1" t="s">
        <v>21</v>
      </c>
      <c r="B98" s="1" t="s">
        <v>25</v>
      </c>
      <c r="C98" s="1" t="s">
        <v>56</v>
      </c>
      <c r="D98" s="1" t="s">
        <v>20</v>
      </c>
      <c r="E98" s="1" t="s">
        <v>20</v>
      </c>
      <c r="F98" s="1" t="s">
        <v>20</v>
      </c>
      <c r="G98" s="1" t="s">
        <v>20</v>
      </c>
      <c r="H98" s="1" t="s">
        <v>20</v>
      </c>
    </row>
    <row r="99" spans="1:8" ht="44.25" x14ac:dyDescent="0.75">
      <c r="A99" s="1" t="s">
        <v>64</v>
      </c>
      <c r="B99" s="1" t="s">
        <v>36</v>
      </c>
      <c r="C99" s="1" t="s">
        <v>81</v>
      </c>
      <c r="D99" s="1" t="s">
        <v>20</v>
      </c>
      <c r="E99" s="1" t="s">
        <v>20</v>
      </c>
      <c r="F99" s="1" t="s">
        <v>20</v>
      </c>
      <c r="G99" s="1" t="s">
        <v>20</v>
      </c>
      <c r="H99" s="1" t="s">
        <v>20</v>
      </c>
    </row>
    <row r="100" spans="1:8" ht="59" x14ac:dyDescent="0.75">
      <c r="A100" s="1" t="s">
        <v>21</v>
      </c>
      <c r="B100" s="1" t="s">
        <v>25</v>
      </c>
      <c r="C100" s="1" t="s">
        <v>23</v>
      </c>
      <c r="D100" s="1" t="s">
        <v>99</v>
      </c>
      <c r="E100" s="1" t="s">
        <v>20</v>
      </c>
      <c r="F100" s="1" t="s">
        <v>20</v>
      </c>
      <c r="G100" s="1" t="s">
        <v>20</v>
      </c>
      <c r="H100" s="1" t="s">
        <v>20</v>
      </c>
    </row>
    <row r="101" spans="1:8" ht="103.25" x14ac:dyDescent="0.75">
      <c r="A101" s="1" t="s">
        <v>24</v>
      </c>
      <c r="B101" s="1" t="s">
        <v>25</v>
      </c>
      <c r="C101" s="1" t="s">
        <v>29</v>
      </c>
      <c r="D101" s="1" t="s">
        <v>20</v>
      </c>
      <c r="E101" s="1" t="s">
        <v>20</v>
      </c>
      <c r="F101" s="1" t="s">
        <v>20</v>
      </c>
      <c r="G101" s="1" t="s">
        <v>20</v>
      </c>
      <c r="H101" s="1" t="s">
        <v>100</v>
      </c>
    </row>
    <row r="102" spans="1:8" ht="59" x14ac:dyDescent="0.75">
      <c r="A102" s="1" t="s">
        <v>24</v>
      </c>
      <c r="B102" s="1" t="s">
        <v>25</v>
      </c>
      <c r="C102" s="1" t="s">
        <v>42</v>
      </c>
      <c r="D102" s="1" t="s">
        <v>20</v>
      </c>
      <c r="E102" s="1" t="s">
        <v>101</v>
      </c>
      <c r="F102" s="1" t="s">
        <v>20</v>
      </c>
      <c r="G102" s="1" t="s">
        <v>20</v>
      </c>
      <c r="H102" s="1" t="s">
        <v>20</v>
      </c>
    </row>
    <row r="103" spans="1:8" ht="88.5" x14ac:dyDescent="0.75">
      <c r="A103" s="1" t="s">
        <v>21</v>
      </c>
      <c r="B103" s="1" t="s">
        <v>32</v>
      </c>
      <c r="C103" s="1" t="s">
        <v>81</v>
      </c>
      <c r="D103" s="1" t="s">
        <v>20</v>
      </c>
      <c r="E103" s="1" t="s">
        <v>20</v>
      </c>
      <c r="F103" s="1" t="s">
        <v>20</v>
      </c>
      <c r="G103" s="1" t="s">
        <v>20</v>
      </c>
      <c r="H103" s="1" t="s">
        <v>20</v>
      </c>
    </row>
    <row r="104" spans="1:8" ht="59" x14ac:dyDescent="0.75">
      <c r="A104" s="1" t="s">
        <v>21</v>
      </c>
      <c r="B104" s="1" t="s">
        <v>36</v>
      </c>
      <c r="C104" s="1" t="s">
        <v>34</v>
      </c>
      <c r="D104" s="1" t="s">
        <v>20</v>
      </c>
      <c r="E104" s="1" t="s">
        <v>20</v>
      </c>
      <c r="F104" s="1" t="s">
        <v>20</v>
      </c>
      <c r="G104" s="1" t="s">
        <v>20</v>
      </c>
      <c r="H104" s="1" t="s">
        <v>20</v>
      </c>
    </row>
    <row r="105" spans="1:8" ht="88.5" x14ac:dyDescent="0.75">
      <c r="A105" s="1" t="s">
        <v>31</v>
      </c>
      <c r="B105" s="1" t="s">
        <v>28</v>
      </c>
      <c r="C105" s="1" t="s">
        <v>26</v>
      </c>
      <c r="D105" s="1" t="s">
        <v>20</v>
      </c>
      <c r="E105" s="1" t="s">
        <v>20</v>
      </c>
      <c r="F105" s="1" t="s">
        <v>20</v>
      </c>
      <c r="G105" s="1" t="s">
        <v>20</v>
      </c>
      <c r="H105" s="1" t="s">
        <v>20</v>
      </c>
    </row>
    <row r="106" spans="1:8" ht="44.25" x14ac:dyDescent="0.75">
      <c r="A106" s="1" t="s">
        <v>16</v>
      </c>
      <c r="B106" s="1" t="s">
        <v>22</v>
      </c>
      <c r="C106" s="1" t="s">
        <v>44</v>
      </c>
      <c r="D106" s="1" t="s">
        <v>20</v>
      </c>
      <c r="E106" s="1" t="s">
        <v>20</v>
      </c>
      <c r="F106" s="1" t="s">
        <v>20</v>
      </c>
      <c r="G106" s="1" t="s">
        <v>20</v>
      </c>
      <c r="H106" s="1" t="s">
        <v>20</v>
      </c>
    </row>
    <row r="107" spans="1:8" ht="59" x14ac:dyDescent="0.75">
      <c r="A107" s="1" t="s">
        <v>21</v>
      </c>
      <c r="B107" s="1" t="s">
        <v>25</v>
      </c>
      <c r="C107" s="1" t="s">
        <v>69</v>
      </c>
      <c r="D107" s="1" t="s">
        <v>20</v>
      </c>
      <c r="E107" s="1" t="s">
        <v>20</v>
      </c>
      <c r="F107" s="1" t="s">
        <v>20</v>
      </c>
      <c r="G107" s="1" t="s">
        <v>102</v>
      </c>
      <c r="H107" s="1" t="s">
        <v>20</v>
      </c>
    </row>
    <row r="108" spans="1:8" ht="29.5" x14ac:dyDescent="0.75">
      <c r="A108" s="1" t="s">
        <v>24</v>
      </c>
      <c r="B108" s="1" t="s">
        <v>22</v>
      </c>
      <c r="C108" s="1" t="s">
        <v>26</v>
      </c>
      <c r="D108" s="1" t="s">
        <v>20</v>
      </c>
      <c r="E108" s="1" t="s">
        <v>20</v>
      </c>
      <c r="F108" s="1" t="s">
        <v>20</v>
      </c>
      <c r="G108" s="1" t="s">
        <v>20</v>
      </c>
      <c r="H108" s="1" t="s">
        <v>20</v>
      </c>
    </row>
    <row r="109" spans="1:8" ht="59" x14ac:dyDescent="0.75">
      <c r="A109" s="1" t="s">
        <v>16</v>
      </c>
      <c r="B109" s="1" t="s">
        <v>25</v>
      </c>
      <c r="C109" s="1" t="s">
        <v>46</v>
      </c>
      <c r="D109" s="1" t="s">
        <v>20</v>
      </c>
      <c r="E109" s="1" t="s">
        <v>20</v>
      </c>
      <c r="F109" s="1" t="s">
        <v>20</v>
      </c>
      <c r="G109" s="1" t="s">
        <v>103</v>
      </c>
      <c r="H109" s="1" t="s">
        <v>20</v>
      </c>
    </row>
    <row r="110" spans="1:8" ht="59" x14ac:dyDescent="0.75">
      <c r="A110" s="1" t="s">
        <v>31</v>
      </c>
      <c r="B110" s="1" t="s">
        <v>25</v>
      </c>
      <c r="C110" s="1" t="s">
        <v>40</v>
      </c>
      <c r="D110" s="1" t="s">
        <v>20</v>
      </c>
      <c r="E110" s="1" t="s">
        <v>20</v>
      </c>
      <c r="F110" s="1" t="s">
        <v>20</v>
      </c>
      <c r="G110" s="1" t="s">
        <v>20</v>
      </c>
      <c r="H110" s="1" t="s">
        <v>20</v>
      </c>
    </row>
    <row r="111" spans="1:8" ht="59" x14ac:dyDescent="0.75">
      <c r="A111" s="1" t="s">
        <v>21</v>
      </c>
      <c r="B111" s="1" t="s">
        <v>25</v>
      </c>
      <c r="C111" s="1" t="s">
        <v>44</v>
      </c>
      <c r="D111" s="1" t="s">
        <v>20</v>
      </c>
      <c r="E111" s="1" t="s">
        <v>20</v>
      </c>
      <c r="F111" s="1" t="s">
        <v>20</v>
      </c>
      <c r="G111" s="1" t="s">
        <v>20</v>
      </c>
      <c r="H111" s="1" t="s">
        <v>20</v>
      </c>
    </row>
    <row r="112" spans="1:8" ht="59" x14ac:dyDescent="0.75">
      <c r="A112" s="1" t="s">
        <v>21</v>
      </c>
      <c r="B112" s="1" t="s">
        <v>25</v>
      </c>
      <c r="C112" s="1" t="s">
        <v>42</v>
      </c>
      <c r="D112" s="1" t="s">
        <v>20</v>
      </c>
      <c r="E112" s="1" t="s">
        <v>104</v>
      </c>
      <c r="F112" s="1" t="s">
        <v>20</v>
      </c>
      <c r="G112" s="1" t="s">
        <v>20</v>
      </c>
      <c r="H112" s="1" t="s">
        <v>20</v>
      </c>
    </row>
    <row r="113" spans="1:8" ht="103.25" x14ac:dyDescent="0.75">
      <c r="A113" s="1" t="s">
        <v>24</v>
      </c>
      <c r="B113" s="1" t="s">
        <v>36</v>
      </c>
      <c r="C113" s="1" t="s">
        <v>29</v>
      </c>
      <c r="D113" s="1" t="s">
        <v>20</v>
      </c>
      <c r="E113" s="1" t="s">
        <v>20</v>
      </c>
      <c r="F113" s="1" t="s">
        <v>20</v>
      </c>
      <c r="G113" s="1" t="s">
        <v>20</v>
      </c>
      <c r="H113" s="1" t="s">
        <v>20</v>
      </c>
    </row>
    <row r="114" spans="1:8" ht="59" x14ac:dyDescent="0.75">
      <c r="A114" s="1" t="s">
        <v>21</v>
      </c>
      <c r="B114" s="1" t="s">
        <v>25</v>
      </c>
      <c r="C114" s="1" t="s">
        <v>34</v>
      </c>
      <c r="D114" s="1" t="s">
        <v>20</v>
      </c>
      <c r="E114" s="1" t="s">
        <v>20</v>
      </c>
      <c r="F114" s="1" t="s">
        <v>20</v>
      </c>
      <c r="G114" s="1" t="s">
        <v>20</v>
      </c>
      <c r="H114" s="1" t="s">
        <v>20</v>
      </c>
    </row>
    <row r="115" spans="1:8" ht="103.25" x14ac:dyDescent="0.75">
      <c r="A115" s="1" t="s">
        <v>16</v>
      </c>
      <c r="B115" s="1" t="s">
        <v>25</v>
      </c>
      <c r="C115" s="1" t="s">
        <v>29</v>
      </c>
      <c r="D115" s="1" t="s">
        <v>105</v>
      </c>
      <c r="E115" s="1" t="s">
        <v>20</v>
      </c>
      <c r="F115" s="1" t="s">
        <v>20</v>
      </c>
      <c r="G115" s="1" t="s">
        <v>20</v>
      </c>
      <c r="H115" s="1" t="s">
        <v>20</v>
      </c>
    </row>
    <row r="116" spans="1:8" ht="29.5" x14ac:dyDescent="0.75">
      <c r="A116" s="1" t="s">
        <v>21</v>
      </c>
      <c r="B116" s="1" t="s">
        <v>22</v>
      </c>
      <c r="C116" s="1" t="s">
        <v>26</v>
      </c>
      <c r="D116" s="1" t="s">
        <v>20</v>
      </c>
      <c r="E116" s="1" t="s">
        <v>106</v>
      </c>
      <c r="F116" s="1" t="s">
        <v>20</v>
      </c>
      <c r="G116" s="1" t="s">
        <v>20</v>
      </c>
      <c r="H116" s="1" t="s">
        <v>20</v>
      </c>
    </row>
    <row r="117" spans="1:8" ht="73.75" x14ac:dyDescent="0.75">
      <c r="A117" s="1" t="s">
        <v>24</v>
      </c>
      <c r="B117" s="1" t="s">
        <v>25</v>
      </c>
      <c r="C117" s="1" t="s">
        <v>47</v>
      </c>
      <c r="D117" s="1" t="s">
        <v>20</v>
      </c>
      <c r="E117" s="1" t="s">
        <v>20</v>
      </c>
      <c r="F117" s="1" t="s">
        <v>20</v>
      </c>
      <c r="G117" s="1" t="s">
        <v>20</v>
      </c>
      <c r="H117" s="1" t="s">
        <v>20</v>
      </c>
    </row>
    <row r="118" spans="1:8" ht="59" x14ac:dyDescent="0.75">
      <c r="A118" s="1" t="s">
        <v>16</v>
      </c>
      <c r="B118" s="1" t="s">
        <v>25</v>
      </c>
      <c r="C118" s="1" t="s">
        <v>42</v>
      </c>
      <c r="D118" s="1" t="s">
        <v>20</v>
      </c>
      <c r="E118" s="1" t="s">
        <v>20</v>
      </c>
      <c r="F118" s="1" t="s">
        <v>20</v>
      </c>
      <c r="G118" s="1" t="s">
        <v>20</v>
      </c>
      <c r="H118" s="1" t="s">
        <v>20</v>
      </c>
    </row>
    <row r="119" spans="1:8" ht="44.25" x14ac:dyDescent="0.75">
      <c r="A119" s="1" t="s">
        <v>64</v>
      </c>
      <c r="B119" s="1" t="s">
        <v>22</v>
      </c>
      <c r="C119" s="1" t="s">
        <v>44</v>
      </c>
      <c r="D119" s="1" t="s">
        <v>20</v>
      </c>
      <c r="E119" s="1" t="s">
        <v>20</v>
      </c>
      <c r="F119" s="1" t="s">
        <v>20</v>
      </c>
      <c r="G119" s="1" t="s">
        <v>20</v>
      </c>
      <c r="H119" s="1" t="s">
        <v>107</v>
      </c>
    </row>
    <row r="120" spans="1:8" ht="59" x14ac:dyDescent="0.75">
      <c r="A120" s="1" t="s">
        <v>21</v>
      </c>
      <c r="B120" s="1" t="s">
        <v>17</v>
      </c>
      <c r="C120" s="1" t="s">
        <v>42</v>
      </c>
      <c r="D120" s="1" t="s">
        <v>20</v>
      </c>
      <c r="E120" s="1" t="s">
        <v>20</v>
      </c>
      <c r="F120" s="1" t="s">
        <v>20</v>
      </c>
      <c r="G120" s="1" t="s">
        <v>20</v>
      </c>
      <c r="H120" s="1" t="s">
        <v>20</v>
      </c>
    </row>
    <row r="121" spans="1:8" ht="59" x14ac:dyDescent="0.75">
      <c r="A121" s="1" t="s">
        <v>16</v>
      </c>
      <c r="B121" s="1" t="s">
        <v>25</v>
      </c>
      <c r="C121" s="1" t="s">
        <v>41</v>
      </c>
      <c r="D121" s="1" t="s">
        <v>20</v>
      </c>
      <c r="E121" s="1" t="s">
        <v>20</v>
      </c>
      <c r="F121" s="1" t="s">
        <v>20</v>
      </c>
      <c r="G121" s="1" t="s">
        <v>108</v>
      </c>
      <c r="H121" s="1" t="s">
        <v>20</v>
      </c>
    </row>
    <row r="122" spans="1:8" ht="59" x14ac:dyDescent="0.75">
      <c r="A122" s="1" t="s">
        <v>24</v>
      </c>
      <c r="B122" s="1" t="s">
        <v>25</v>
      </c>
      <c r="C122" s="1" t="s">
        <v>44</v>
      </c>
      <c r="D122" s="1" t="s">
        <v>20</v>
      </c>
      <c r="E122" s="1" t="s">
        <v>20</v>
      </c>
      <c r="F122" s="1" t="s">
        <v>20</v>
      </c>
      <c r="G122" s="1" t="s">
        <v>20</v>
      </c>
      <c r="H122" s="1" t="s">
        <v>20</v>
      </c>
    </row>
    <row r="123" spans="1:8" ht="44.25" x14ac:dyDescent="0.75">
      <c r="A123" s="1" t="s">
        <v>21</v>
      </c>
      <c r="B123" s="1" t="s">
        <v>36</v>
      </c>
      <c r="C123" s="1" t="s">
        <v>109</v>
      </c>
      <c r="D123" s="1" t="s">
        <v>20</v>
      </c>
      <c r="E123" s="1" t="s">
        <v>20</v>
      </c>
      <c r="F123" s="1" t="s">
        <v>20</v>
      </c>
      <c r="G123" s="1" t="s">
        <v>20</v>
      </c>
      <c r="H123" s="1" t="s">
        <v>20</v>
      </c>
    </row>
    <row r="124" spans="1:8" ht="59" x14ac:dyDescent="0.75">
      <c r="A124" s="1" t="s">
        <v>64</v>
      </c>
      <c r="B124" s="1" t="s">
        <v>36</v>
      </c>
      <c r="C124" s="1" t="s">
        <v>34</v>
      </c>
      <c r="D124" s="1" t="s">
        <v>20</v>
      </c>
      <c r="E124" s="1" t="s">
        <v>20</v>
      </c>
      <c r="F124" s="1" t="s">
        <v>20</v>
      </c>
      <c r="G124" s="1" t="s">
        <v>67</v>
      </c>
      <c r="H124" s="1" t="s">
        <v>20</v>
      </c>
    </row>
    <row r="125" spans="1:8" ht="103.25" x14ac:dyDescent="0.75">
      <c r="A125" s="1" t="s">
        <v>16</v>
      </c>
      <c r="B125" s="1" t="s">
        <v>22</v>
      </c>
      <c r="C125" s="1" t="s">
        <v>29</v>
      </c>
      <c r="D125" s="1" t="s">
        <v>20</v>
      </c>
      <c r="E125" s="1" t="s">
        <v>20</v>
      </c>
      <c r="F125" s="1" t="s">
        <v>20</v>
      </c>
      <c r="G125" s="1" t="s">
        <v>110</v>
      </c>
      <c r="H125" s="1" t="s">
        <v>20</v>
      </c>
    </row>
    <row r="126" spans="1:8" ht="103.25" x14ac:dyDescent="0.75">
      <c r="A126" s="1" t="s">
        <v>16</v>
      </c>
      <c r="B126" s="1" t="s">
        <v>25</v>
      </c>
      <c r="C126" s="1" t="s">
        <v>29</v>
      </c>
      <c r="D126" s="1" t="s">
        <v>20</v>
      </c>
      <c r="E126" s="1" t="s">
        <v>20</v>
      </c>
      <c r="F126" s="1" t="s">
        <v>20</v>
      </c>
      <c r="G126" s="1" t="s">
        <v>20</v>
      </c>
      <c r="H126" s="1" t="s">
        <v>20</v>
      </c>
    </row>
    <row r="127" spans="1:8" ht="59" x14ac:dyDescent="0.75">
      <c r="A127" s="1" t="s">
        <v>21</v>
      </c>
      <c r="B127" s="1" t="s">
        <v>25</v>
      </c>
      <c r="C127" s="1" t="s">
        <v>76</v>
      </c>
      <c r="D127" s="1" t="s">
        <v>20</v>
      </c>
      <c r="E127" s="1" t="s">
        <v>20</v>
      </c>
      <c r="F127" s="1" t="s">
        <v>20</v>
      </c>
      <c r="G127" s="1" t="s">
        <v>111</v>
      </c>
      <c r="H127" s="1" t="s">
        <v>20</v>
      </c>
    </row>
    <row r="128" spans="1:8" ht="59" x14ac:dyDescent="0.75">
      <c r="A128" s="1" t="s">
        <v>31</v>
      </c>
      <c r="B128" s="1" t="s">
        <v>25</v>
      </c>
      <c r="C128" s="1" t="s">
        <v>38</v>
      </c>
      <c r="D128" s="1" t="s">
        <v>20</v>
      </c>
      <c r="E128" s="1" t="s">
        <v>20</v>
      </c>
      <c r="F128" s="1" t="s">
        <v>112</v>
      </c>
      <c r="G128" s="1" t="s">
        <v>20</v>
      </c>
      <c r="H128" s="1" t="s">
        <v>20</v>
      </c>
    </row>
    <row r="129" spans="1:8" ht="59" x14ac:dyDescent="0.75">
      <c r="A129" s="1" t="s">
        <v>24</v>
      </c>
      <c r="B129" s="1" t="s">
        <v>25</v>
      </c>
      <c r="C129" s="1" t="s">
        <v>69</v>
      </c>
      <c r="D129" s="1" t="s">
        <v>113</v>
      </c>
      <c r="E129" s="1" t="s">
        <v>20</v>
      </c>
      <c r="F129" s="1" t="s">
        <v>20</v>
      </c>
      <c r="G129" s="1" t="s">
        <v>20</v>
      </c>
      <c r="H129" s="1" t="s">
        <v>20</v>
      </c>
    </row>
    <row r="130" spans="1:8" ht="59" x14ac:dyDescent="0.75">
      <c r="A130" s="1" t="s">
        <v>21</v>
      </c>
      <c r="B130" s="1" t="s">
        <v>25</v>
      </c>
      <c r="C130" s="1" t="s">
        <v>44</v>
      </c>
      <c r="D130" s="1" t="s">
        <v>20</v>
      </c>
      <c r="E130" s="1" t="s">
        <v>20</v>
      </c>
      <c r="F130" s="1" t="s">
        <v>20</v>
      </c>
      <c r="G130" s="1" t="s">
        <v>20</v>
      </c>
      <c r="H130" s="1" t="s">
        <v>20</v>
      </c>
    </row>
    <row r="131" spans="1:8" ht="59" x14ac:dyDescent="0.75">
      <c r="A131" s="1" t="s">
        <v>21</v>
      </c>
      <c r="B131" s="1" t="s">
        <v>17</v>
      </c>
      <c r="C131" s="1" t="s">
        <v>98</v>
      </c>
      <c r="D131" s="1" t="s">
        <v>20</v>
      </c>
      <c r="E131" s="1" t="s">
        <v>20</v>
      </c>
      <c r="F131" s="1" t="s">
        <v>20</v>
      </c>
      <c r="G131" s="1" t="s">
        <v>20</v>
      </c>
      <c r="H131" s="1" t="s">
        <v>20</v>
      </c>
    </row>
    <row r="132" spans="1:8" ht="59" x14ac:dyDescent="0.75">
      <c r="A132" s="1" t="s">
        <v>64</v>
      </c>
      <c r="B132" s="1" t="s">
        <v>36</v>
      </c>
      <c r="C132" s="1" t="s">
        <v>40</v>
      </c>
      <c r="D132" s="1" t="s">
        <v>20</v>
      </c>
      <c r="E132" s="1" t="s">
        <v>20</v>
      </c>
      <c r="F132" s="1" t="s">
        <v>114</v>
      </c>
      <c r="G132" s="1" t="s">
        <v>20</v>
      </c>
      <c r="H132" s="1" t="s">
        <v>20</v>
      </c>
    </row>
    <row r="133" spans="1:8" ht="59" x14ac:dyDescent="0.75">
      <c r="A133" s="1" t="s">
        <v>16</v>
      </c>
      <c r="B133" s="1" t="s">
        <v>22</v>
      </c>
      <c r="C133" s="1" t="s">
        <v>40</v>
      </c>
      <c r="D133" s="1" t="s">
        <v>20</v>
      </c>
      <c r="E133" s="1" t="s">
        <v>20</v>
      </c>
      <c r="F133" s="1" t="s">
        <v>20</v>
      </c>
      <c r="G133" s="1" t="s">
        <v>20</v>
      </c>
      <c r="H133" s="1" t="s">
        <v>20</v>
      </c>
    </row>
    <row r="134" spans="1:8" ht="59" x14ac:dyDescent="0.75">
      <c r="A134" s="1" t="s">
        <v>21</v>
      </c>
      <c r="B134" s="1" t="s">
        <v>17</v>
      </c>
      <c r="C134" s="1" t="s">
        <v>42</v>
      </c>
      <c r="D134" s="1" t="s">
        <v>20</v>
      </c>
      <c r="E134" s="1" t="s">
        <v>20</v>
      </c>
      <c r="F134" s="1" t="s">
        <v>20</v>
      </c>
      <c r="G134" s="1" t="s">
        <v>20</v>
      </c>
      <c r="H134" s="1" t="s">
        <v>20</v>
      </c>
    </row>
    <row r="135" spans="1:8" ht="88.5" x14ac:dyDescent="0.75">
      <c r="A135" s="1" t="s">
        <v>24</v>
      </c>
      <c r="B135" s="1" t="s">
        <v>28</v>
      </c>
      <c r="C135" s="1" t="s">
        <v>109</v>
      </c>
      <c r="D135" s="1" t="s">
        <v>115</v>
      </c>
      <c r="E135" s="1" t="s">
        <v>20</v>
      </c>
      <c r="F135" s="1" t="s">
        <v>20</v>
      </c>
      <c r="G135" s="1" t="s">
        <v>20</v>
      </c>
      <c r="H135" s="1" t="s">
        <v>20</v>
      </c>
    </row>
    <row r="136" spans="1:8" ht="59" x14ac:dyDescent="0.75">
      <c r="A136" s="1" t="s">
        <v>16</v>
      </c>
      <c r="B136" s="1" t="s">
        <v>25</v>
      </c>
      <c r="C136" s="1" t="s">
        <v>69</v>
      </c>
      <c r="D136" s="1" t="s">
        <v>20</v>
      </c>
      <c r="E136" s="1" t="s">
        <v>116</v>
      </c>
      <c r="F136" s="1" t="s">
        <v>20</v>
      </c>
      <c r="G136" s="1" t="s">
        <v>20</v>
      </c>
      <c r="H136" s="1" t="s">
        <v>20</v>
      </c>
    </row>
    <row r="137" spans="1:8" ht="44.25" x14ac:dyDescent="0.75">
      <c r="A137" s="1" t="s">
        <v>21</v>
      </c>
      <c r="B137" s="1" t="s">
        <v>36</v>
      </c>
      <c r="C137" s="1" t="s">
        <v>55</v>
      </c>
      <c r="D137" s="1" t="s">
        <v>20</v>
      </c>
      <c r="E137" s="1" t="s">
        <v>20</v>
      </c>
      <c r="F137" s="1" t="s">
        <v>20</v>
      </c>
      <c r="G137" s="1" t="s">
        <v>20</v>
      </c>
      <c r="H137" s="1" t="s">
        <v>20</v>
      </c>
    </row>
    <row r="138" spans="1:8" ht="59" x14ac:dyDescent="0.75">
      <c r="A138" s="1" t="s">
        <v>24</v>
      </c>
      <c r="B138" s="1" t="s">
        <v>17</v>
      </c>
      <c r="C138" s="1" t="s">
        <v>42</v>
      </c>
      <c r="D138" s="1" t="s">
        <v>20</v>
      </c>
      <c r="E138" s="1" t="s">
        <v>20</v>
      </c>
      <c r="F138" s="1" t="s">
        <v>20</v>
      </c>
      <c r="G138" s="1" t="s">
        <v>20</v>
      </c>
      <c r="H138" s="1" t="s">
        <v>20</v>
      </c>
    </row>
    <row r="139" spans="1:8" ht="59" x14ac:dyDescent="0.75">
      <c r="A139" s="1" t="s">
        <v>24</v>
      </c>
      <c r="B139" s="1" t="s">
        <v>17</v>
      </c>
      <c r="C139" s="1" t="s">
        <v>109</v>
      </c>
      <c r="D139" s="1" t="s">
        <v>20</v>
      </c>
      <c r="E139" s="1" t="s">
        <v>20</v>
      </c>
      <c r="F139" s="1" t="s">
        <v>20</v>
      </c>
      <c r="G139" s="1" t="s">
        <v>20</v>
      </c>
      <c r="H139" s="1" t="s">
        <v>117</v>
      </c>
    </row>
    <row r="140" spans="1:8" ht="59" x14ac:dyDescent="0.75">
      <c r="A140" s="1" t="s">
        <v>21</v>
      </c>
      <c r="B140" s="1" t="s">
        <v>25</v>
      </c>
      <c r="C140" s="1" t="s">
        <v>44</v>
      </c>
      <c r="D140" s="1" t="s">
        <v>20</v>
      </c>
      <c r="E140" s="1" t="s">
        <v>20</v>
      </c>
      <c r="F140" s="1" t="s">
        <v>20</v>
      </c>
      <c r="G140" s="1" t="s">
        <v>20</v>
      </c>
      <c r="H140" s="1" t="s">
        <v>20</v>
      </c>
    </row>
    <row r="141" spans="1:8" ht="29.5" x14ac:dyDescent="0.75">
      <c r="A141" s="1" t="s">
        <v>64</v>
      </c>
      <c r="B141" s="1" t="s">
        <v>22</v>
      </c>
      <c r="C141" s="1" t="s">
        <v>18</v>
      </c>
      <c r="D141" s="1" t="s">
        <v>20</v>
      </c>
      <c r="E141" s="1" t="s">
        <v>20</v>
      </c>
      <c r="F141" s="1" t="s">
        <v>20</v>
      </c>
      <c r="G141" s="1" t="s">
        <v>20</v>
      </c>
      <c r="H141" s="1" t="s">
        <v>20</v>
      </c>
    </row>
    <row r="142" spans="1:8" ht="59" x14ac:dyDescent="0.75">
      <c r="A142" s="1" t="s">
        <v>16</v>
      </c>
      <c r="B142" s="1" t="s">
        <v>17</v>
      </c>
      <c r="C142" s="1" t="s">
        <v>98</v>
      </c>
      <c r="D142" s="1" t="s">
        <v>20</v>
      </c>
      <c r="E142" s="1" t="s">
        <v>20</v>
      </c>
      <c r="F142" s="1" t="s">
        <v>118</v>
      </c>
      <c r="G142" s="1" t="s">
        <v>20</v>
      </c>
      <c r="H142" s="1" t="s">
        <v>20</v>
      </c>
    </row>
    <row r="143" spans="1:8" ht="73.75" x14ac:dyDescent="0.75">
      <c r="A143" s="1" t="s">
        <v>24</v>
      </c>
      <c r="B143" s="1" t="s">
        <v>25</v>
      </c>
      <c r="C143" s="1" t="s">
        <v>47</v>
      </c>
      <c r="D143" s="1" t="s">
        <v>20</v>
      </c>
      <c r="E143" s="1" t="s">
        <v>20</v>
      </c>
      <c r="F143" s="1" t="s">
        <v>20</v>
      </c>
      <c r="G143" s="1" t="s">
        <v>119</v>
      </c>
      <c r="H143" s="1" t="s">
        <v>20</v>
      </c>
    </row>
    <row r="144" spans="1:8" ht="103.25" x14ac:dyDescent="0.75">
      <c r="A144" s="1" t="s">
        <v>64</v>
      </c>
      <c r="B144" s="1" t="s">
        <v>36</v>
      </c>
      <c r="C144" s="1" t="s">
        <v>29</v>
      </c>
      <c r="D144" s="1" t="s">
        <v>20</v>
      </c>
      <c r="E144" s="1" t="s">
        <v>20</v>
      </c>
      <c r="F144" s="1" t="s">
        <v>20</v>
      </c>
      <c r="G144" s="1" t="s">
        <v>20</v>
      </c>
      <c r="H144" s="1" t="s">
        <v>20</v>
      </c>
    </row>
    <row r="145" spans="1:8" ht="59" x14ac:dyDescent="0.75">
      <c r="A145" s="1" t="s">
        <v>64</v>
      </c>
      <c r="B145" s="1" t="s">
        <v>25</v>
      </c>
      <c r="C145" s="1" t="s">
        <v>26</v>
      </c>
      <c r="D145" s="1" t="s">
        <v>20</v>
      </c>
      <c r="E145" s="1" t="s">
        <v>20</v>
      </c>
      <c r="F145" s="1" t="s">
        <v>20</v>
      </c>
      <c r="G145" s="1" t="s">
        <v>20</v>
      </c>
      <c r="H145" s="1" t="s">
        <v>20</v>
      </c>
    </row>
    <row r="146" spans="1:8" ht="59" x14ac:dyDescent="0.75">
      <c r="A146" s="1" t="s">
        <v>21</v>
      </c>
      <c r="B146" s="1" t="s">
        <v>25</v>
      </c>
      <c r="C146" s="1" t="s">
        <v>76</v>
      </c>
      <c r="D146" s="1" t="s">
        <v>20</v>
      </c>
      <c r="E146" s="1" t="s">
        <v>20</v>
      </c>
      <c r="F146" s="1" t="s">
        <v>20</v>
      </c>
      <c r="G146" s="1" t="s">
        <v>20</v>
      </c>
      <c r="H146" s="1" t="s">
        <v>120</v>
      </c>
    </row>
    <row r="147" spans="1:8" ht="73.75" x14ac:dyDescent="0.75">
      <c r="A147" s="1" t="s">
        <v>21</v>
      </c>
      <c r="B147" s="1" t="s">
        <v>17</v>
      </c>
      <c r="C147" s="1" t="s">
        <v>47</v>
      </c>
      <c r="D147" s="1" t="s">
        <v>20</v>
      </c>
      <c r="E147" s="1" t="s">
        <v>20</v>
      </c>
      <c r="F147" s="1" t="s">
        <v>20</v>
      </c>
      <c r="G147" s="1" t="s">
        <v>20</v>
      </c>
      <c r="H147" s="1" t="s">
        <v>20</v>
      </c>
    </row>
    <row r="148" spans="1:8" ht="44.25" x14ac:dyDescent="0.75">
      <c r="A148" s="1" t="s">
        <v>16</v>
      </c>
      <c r="B148" s="1" t="s">
        <v>36</v>
      </c>
      <c r="C148" s="1" t="s">
        <v>26</v>
      </c>
      <c r="D148" s="1" t="s">
        <v>121</v>
      </c>
      <c r="E148" s="1" t="s">
        <v>20</v>
      </c>
      <c r="F148" s="1" t="s">
        <v>20</v>
      </c>
      <c r="G148" s="1" t="s">
        <v>20</v>
      </c>
      <c r="H148" s="1" t="s">
        <v>20</v>
      </c>
    </row>
    <row r="149" spans="1:8" ht="59" x14ac:dyDescent="0.75">
      <c r="A149" s="1" t="s">
        <v>16</v>
      </c>
      <c r="B149" s="1" t="s">
        <v>25</v>
      </c>
      <c r="C149" s="1" t="s">
        <v>69</v>
      </c>
      <c r="D149" s="1" t="s">
        <v>20</v>
      </c>
      <c r="E149" s="1" t="s">
        <v>20</v>
      </c>
      <c r="F149" s="1" t="s">
        <v>20</v>
      </c>
      <c r="G149" s="1" t="s">
        <v>20</v>
      </c>
      <c r="H149" s="1" t="s">
        <v>20</v>
      </c>
    </row>
    <row r="150" spans="1:8" ht="59" x14ac:dyDescent="0.75">
      <c r="A150" s="1" t="s">
        <v>31</v>
      </c>
      <c r="B150" s="1" t="s">
        <v>17</v>
      </c>
      <c r="C150" s="1" t="s">
        <v>42</v>
      </c>
      <c r="D150" s="1" t="s">
        <v>20</v>
      </c>
      <c r="E150" s="1" t="s">
        <v>20</v>
      </c>
      <c r="F150" s="1" t="s">
        <v>20</v>
      </c>
      <c r="G150" s="1" t="s">
        <v>20</v>
      </c>
      <c r="H150" s="1" t="s">
        <v>20</v>
      </c>
    </row>
    <row r="151" spans="1:8" ht="59" x14ac:dyDescent="0.75">
      <c r="A151" s="1" t="s">
        <v>24</v>
      </c>
      <c r="B151" s="1" t="s">
        <v>25</v>
      </c>
      <c r="C151" s="1" t="s">
        <v>42</v>
      </c>
      <c r="D151" s="1" t="s">
        <v>20</v>
      </c>
      <c r="E151" s="1" t="s">
        <v>20</v>
      </c>
      <c r="F151" s="1" t="s">
        <v>20</v>
      </c>
      <c r="G151" s="1" t="s">
        <v>122</v>
      </c>
      <c r="H151" s="1" t="s">
        <v>20</v>
      </c>
    </row>
    <row r="152" spans="1:8" ht="29.5" x14ac:dyDescent="0.75">
      <c r="A152" s="1" t="s">
        <v>21</v>
      </c>
      <c r="B152" s="1" t="s">
        <v>22</v>
      </c>
      <c r="C152" s="1" t="s">
        <v>81</v>
      </c>
      <c r="D152" s="1" t="s">
        <v>20</v>
      </c>
      <c r="E152" s="1" t="s">
        <v>20</v>
      </c>
      <c r="F152" s="1" t="s">
        <v>20</v>
      </c>
      <c r="G152" s="1" t="s">
        <v>20</v>
      </c>
      <c r="H152" s="1" t="s">
        <v>20</v>
      </c>
    </row>
    <row r="153" spans="1:8" ht="59" x14ac:dyDescent="0.75">
      <c r="A153" s="1" t="s">
        <v>21</v>
      </c>
      <c r="B153" s="1" t="s">
        <v>36</v>
      </c>
      <c r="C153" s="1" t="s">
        <v>46</v>
      </c>
      <c r="D153" s="1" t="s">
        <v>20</v>
      </c>
      <c r="E153" s="1" t="s">
        <v>20</v>
      </c>
      <c r="F153" s="1" t="s">
        <v>20</v>
      </c>
      <c r="G153" s="1" t="s">
        <v>20</v>
      </c>
      <c r="H153" s="1" t="s">
        <v>123</v>
      </c>
    </row>
    <row r="154" spans="1:8" ht="29.5" x14ac:dyDescent="0.75">
      <c r="A154" s="1" t="s">
        <v>64</v>
      </c>
      <c r="B154" s="1" t="s">
        <v>22</v>
      </c>
      <c r="C154" s="1" t="s">
        <v>26</v>
      </c>
      <c r="D154" s="1" t="s">
        <v>20</v>
      </c>
      <c r="E154" s="1" t="s">
        <v>20</v>
      </c>
      <c r="F154" s="1" t="s">
        <v>20</v>
      </c>
      <c r="G154" s="1" t="s">
        <v>20</v>
      </c>
      <c r="H154" s="1" t="s">
        <v>124</v>
      </c>
    </row>
    <row r="155" spans="1:8" ht="88.5" x14ac:dyDescent="0.75">
      <c r="A155" s="1" t="s">
        <v>21</v>
      </c>
      <c r="B155" s="1" t="s">
        <v>32</v>
      </c>
      <c r="C155" s="1" t="s">
        <v>125</v>
      </c>
      <c r="D155" s="1" t="s">
        <v>20</v>
      </c>
      <c r="E155" s="1" t="s">
        <v>126</v>
      </c>
      <c r="F155" s="1" t="s">
        <v>20</v>
      </c>
      <c r="G155" s="1" t="s">
        <v>20</v>
      </c>
      <c r="H155" s="1" t="s">
        <v>20</v>
      </c>
    </row>
    <row r="156" spans="1:8" ht="88.5" x14ac:dyDescent="0.75">
      <c r="A156" s="1" t="s">
        <v>16</v>
      </c>
      <c r="B156" s="1" t="s">
        <v>32</v>
      </c>
      <c r="C156" s="1" t="s">
        <v>35</v>
      </c>
      <c r="D156" s="1" t="s">
        <v>127</v>
      </c>
      <c r="E156" s="1" t="s">
        <v>20</v>
      </c>
      <c r="F156" s="1" t="s">
        <v>20</v>
      </c>
      <c r="G156" s="1" t="s">
        <v>20</v>
      </c>
      <c r="H156" s="1" t="s">
        <v>20</v>
      </c>
    </row>
    <row r="157" spans="1:8" ht="59" x14ac:dyDescent="0.75">
      <c r="A157" s="1" t="s">
        <v>16</v>
      </c>
      <c r="B157" s="1" t="s">
        <v>25</v>
      </c>
      <c r="C157" s="1" t="s">
        <v>46</v>
      </c>
      <c r="D157" s="1" t="s">
        <v>20</v>
      </c>
      <c r="E157" s="1" t="s">
        <v>128</v>
      </c>
      <c r="F157" s="1" t="s">
        <v>20</v>
      </c>
      <c r="G157" s="1" t="s">
        <v>20</v>
      </c>
      <c r="H157" s="1" t="s">
        <v>20</v>
      </c>
    </row>
    <row r="158" spans="1:8" ht="88.5" x14ac:dyDescent="0.75">
      <c r="A158" s="1" t="s">
        <v>21</v>
      </c>
      <c r="B158" s="1" t="s">
        <v>28</v>
      </c>
      <c r="C158" s="1" t="s">
        <v>41</v>
      </c>
      <c r="D158" s="1" t="s">
        <v>20</v>
      </c>
      <c r="E158" s="1" t="s">
        <v>20</v>
      </c>
      <c r="F158" s="1" t="s">
        <v>20</v>
      </c>
      <c r="G158" s="1" t="s">
        <v>20</v>
      </c>
      <c r="H158" s="1" t="s">
        <v>129</v>
      </c>
    </row>
    <row r="159" spans="1:8" ht="44.25" x14ac:dyDescent="0.75">
      <c r="A159" s="1" t="s">
        <v>16</v>
      </c>
      <c r="B159" s="1" t="s">
        <v>36</v>
      </c>
      <c r="C159" s="1" t="s">
        <v>44</v>
      </c>
      <c r="D159" s="1" t="s">
        <v>20</v>
      </c>
      <c r="E159" s="1" t="s">
        <v>20</v>
      </c>
      <c r="F159" s="1" t="s">
        <v>130</v>
      </c>
      <c r="G159" s="1" t="s">
        <v>20</v>
      </c>
      <c r="H159" s="1" t="s">
        <v>20</v>
      </c>
    </row>
    <row r="160" spans="1:8" ht="59" x14ac:dyDescent="0.75">
      <c r="A160" s="1" t="s">
        <v>31</v>
      </c>
      <c r="B160" s="1" t="s">
        <v>17</v>
      </c>
      <c r="C160" s="1" t="s">
        <v>38</v>
      </c>
      <c r="D160" s="1" t="s">
        <v>20</v>
      </c>
      <c r="E160" s="1" t="s">
        <v>20</v>
      </c>
      <c r="F160" s="1" t="s">
        <v>131</v>
      </c>
      <c r="G160" s="1" t="s">
        <v>20</v>
      </c>
      <c r="H160" s="1" t="s">
        <v>20</v>
      </c>
    </row>
    <row r="161" spans="1:8" ht="59" x14ac:dyDescent="0.75">
      <c r="A161" s="1" t="s">
        <v>16</v>
      </c>
      <c r="B161" s="1" t="s">
        <v>25</v>
      </c>
      <c r="C161" s="1" t="s">
        <v>26</v>
      </c>
      <c r="D161" s="1" t="s">
        <v>132</v>
      </c>
      <c r="E161" s="1" t="s">
        <v>20</v>
      </c>
      <c r="F161" s="1" t="s">
        <v>20</v>
      </c>
      <c r="G161" s="1" t="s">
        <v>20</v>
      </c>
      <c r="H161" s="1" t="s">
        <v>20</v>
      </c>
    </row>
    <row r="162" spans="1:8" ht="59" x14ac:dyDescent="0.75">
      <c r="A162" s="1" t="s">
        <v>21</v>
      </c>
      <c r="B162" s="1" t="s">
        <v>25</v>
      </c>
      <c r="C162" s="1" t="s">
        <v>18</v>
      </c>
      <c r="D162" s="1" t="s">
        <v>20</v>
      </c>
      <c r="E162" s="1" t="s">
        <v>20</v>
      </c>
      <c r="F162" s="1" t="s">
        <v>20</v>
      </c>
      <c r="G162" s="1" t="s">
        <v>20</v>
      </c>
      <c r="H162" s="1" t="s">
        <v>20</v>
      </c>
    </row>
    <row r="163" spans="1:8" ht="59" x14ac:dyDescent="0.75">
      <c r="A163" s="1" t="s">
        <v>16</v>
      </c>
      <c r="B163" s="1" t="s">
        <v>25</v>
      </c>
      <c r="C163" s="1" t="s">
        <v>34</v>
      </c>
      <c r="D163" s="1" t="s">
        <v>20</v>
      </c>
      <c r="E163" s="1" t="s">
        <v>20</v>
      </c>
      <c r="F163" s="1" t="s">
        <v>20</v>
      </c>
      <c r="G163" s="1" t="s">
        <v>133</v>
      </c>
      <c r="H163" s="1" t="s">
        <v>20</v>
      </c>
    </row>
    <row r="164" spans="1:8" ht="59" x14ac:dyDescent="0.75">
      <c r="A164" s="1" t="s">
        <v>61</v>
      </c>
      <c r="B164" s="1" t="s">
        <v>25</v>
      </c>
      <c r="C164" s="1" t="s">
        <v>42</v>
      </c>
      <c r="D164" s="1" t="s">
        <v>134</v>
      </c>
      <c r="E164" s="1" t="s">
        <v>20</v>
      </c>
      <c r="F164" s="1" t="s">
        <v>20</v>
      </c>
      <c r="G164" s="1" t="s">
        <v>20</v>
      </c>
      <c r="H164" s="1" t="s">
        <v>20</v>
      </c>
    </row>
    <row r="165" spans="1:8" ht="59" x14ac:dyDescent="0.75">
      <c r="A165" s="1" t="s">
        <v>16</v>
      </c>
      <c r="B165" s="1" t="s">
        <v>22</v>
      </c>
      <c r="C165" s="1" t="s">
        <v>40</v>
      </c>
      <c r="D165" s="1" t="s">
        <v>20</v>
      </c>
      <c r="E165" s="1" t="s">
        <v>20</v>
      </c>
      <c r="F165" s="1" t="s">
        <v>135</v>
      </c>
      <c r="G165" s="1" t="s">
        <v>20</v>
      </c>
      <c r="H165" s="1" t="s">
        <v>20</v>
      </c>
    </row>
    <row r="166" spans="1:8" ht="88.5" x14ac:dyDescent="0.75">
      <c r="A166" s="1" t="s">
        <v>24</v>
      </c>
      <c r="B166" s="1" t="s">
        <v>28</v>
      </c>
      <c r="C166" s="1" t="s">
        <v>18</v>
      </c>
      <c r="D166" s="1" t="s">
        <v>20</v>
      </c>
      <c r="E166" s="1" t="s">
        <v>20</v>
      </c>
      <c r="F166" s="1" t="s">
        <v>20</v>
      </c>
      <c r="G166" s="1" t="s">
        <v>20</v>
      </c>
      <c r="H166" s="1" t="s">
        <v>20</v>
      </c>
    </row>
    <row r="167" spans="1:8" ht="59" x14ac:dyDescent="0.75">
      <c r="A167" s="1" t="s">
        <v>16</v>
      </c>
      <c r="B167" s="1" t="s">
        <v>25</v>
      </c>
      <c r="C167" s="1" t="s">
        <v>44</v>
      </c>
      <c r="D167" s="1" t="s">
        <v>20</v>
      </c>
      <c r="E167" s="1" t="s">
        <v>20</v>
      </c>
      <c r="F167" s="1" t="s">
        <v>136</v>
      </c>
      <c r="G167" s="1" t="s">
        <v>20</v>
      </c>
      <c r="H167" s="1" t="s">
        <v>20</v>
      </c>
    </row>
    <row r="168" spans="1:8" ht="59" x14ac:dyDescent="0.75">
      <c r="A168" s="1" t="s">
        <v>31</v>
      </c>
      <c r="B168" s="1" t="s">
        <v>22</v>
      </c>
      <c r="C168" s="1" t="s">
        <v>40</v>
      </c>
      <c r="D168" s="1" t="s">
        <v>137</v>
      </c>
      <c r="E168" s="1" t="s">
        <v>20</v>
      </c>
      <c r="F168" s="1" t="s">
        <v>20</v>
      </c>
      <c r="G168" s="1" t="s">
        <v>20</v>
      </c>
      <c r="H168" s="1" t="s">
        <v>20</v>
      </c>
    </row>
    <row r="169" spans="1:8" ht="88.5" x14ac:dyDescent="0.75">
      <c r="A169" s="1" t="s">
        <v>24</v>
      </c>
      <c r="B169" s="1" t="s">
        <v>28</v>
      </c>
      <c r="C169" s="1" t="s">
        <v>26</v>
      </c>
      <c r="D169" s="1" t="s">
        <v>20</v>
      </c>
      <c r="E169" s="1" t="s">
        <v>20</v>
      </c>
      <c r="F169" s="1" t="s">
        <v>20</v>
      </c>
      <c r="G169" s="1" t="s">
        <v>20</v>
      </c>
      <c r="H169" s="1" t="s">
        <v>138</v>
      </c>
    </row>
    <row r="170" spans="1:8" ht="59" x14ac:dyDescent="0.75">
      <c r="A170" s="1" t="s">
        <v>21</v>
      </c>
      <c r="B170" s="1" t="s">
        <v>25</v>
      </c>
      <c r="C170" s="1" t="s">
        <v>62</v>
      </c>
      <c r="D170" s="1" t="s">
        <v>20</v>
      </c>
      <c r="E170" s="1" t="s">
        <v>20</v>
      </c>
      <c r="F170" s="1" t="s">
        <v>20</v>
      </c>
      <c r="G170" s="1" t="s">
        <v>20</v>
      </c>
      <c r="H170" s="1" t="s">
        <v>20</v>
      </c>
    </row>
    <row r="171" spans="1:8" ht="88.5" x14ac:dyDescent="0.75">
      <c r="A171" s="1" t="s">
        <v>16</v>
      </c>
      <c r="B171" s="1" t="s">
        <v>32</v>
      </c>
      <c r="C171" s="1" t="s">
        <v>42</v>
      </c>
      <c r="D171" s="1" t="s">
        <v>20</v>
      </c>
      <c r="E171" s="1" t="s">
        <v>20</v>
      </c>
      <c r="F171" s="1" t="s">
        <v>20</v>
      </c>
      <c r="G171" s="1" t="s">
        <v>20</v>
      </c>
      <c r="H171" s="1" t="s">
        <v>139</v>
      </c>
    </row>
    <row r="172" spans="1:8" ht="59" x14ac:dyDescent="0.75">
      <c r="A172" s="1" t="s">
        <v>24</v>
      </c>
      <c r="B172" s="1" t="s">
        <v>25</v>
      </c>
      <c r="C172" s="1" t="s">
        <v>26</v>
      </c>
      <c r="D172" s="1" t="s">
        <v>20</v>
      </c>
      <c r="E172" s="1" t="s">
        <v>20</v>
      </c>
      <c r="F172" s="1" t="s">
        <v>20</v>
      </c>
      <c r="G172" s="1" t="s">
        <v>20</v>
      </c>
      <c r="H172" s="1" t="s">
        <v>20</v>
      </c>
    </row>
    <row r="173" spans="1:8" ht="59" x14ac:dyDescent="0.75">
      <c r="A173" s="1" t="s">
        <v>21</v>
      </c>
      <c r="B173" s="1" t="s">
        <v>25</v>
      </c>
      <c r="C173" s="1" t="s">
        <v>42</v>
      </c>
      <c r="D173" s="1" t="s">
        <v>140</v>
      </c>
      <c r="E173" s="1" t="s">
        <v>20</v>
      </c>
      <c r="F173" s="1" t="s">
        <v>20</v>
      </c>
      <c r="G173" s="1" t="s">
        <v>20</v>
      </c>
      <c r="H173" s="1" t="s">
        <v>20</v>
      </c>
    </row>
    <row r="174" spans="1:8" ht="59" x14ac:dyDescent="0.75">
      <c r="A174" s="1" t="s">
        <v>16</v>
      </c>
      <c r="B174" s="1" t="s">
        <v>25</v>
      </c>
      <c r="C174" s="1" t="s">
        <v>44</v>
      </c>
      <c r="D174" s="1" t="s">
        <v>20</v>
      </c>
      <c r="E174" s="1" t="s">
        <v>20</v>
      </c>
      <c r="F174" s="1" t="s">
        <v>20</v>
      </c>
      <c r="G174" s="1" t="s">
        <v>20</v>
      </c>
      <c r="H174" s="1" t="s">
        <v>20</v>
      </c>
    </row>
    <row r="175" spans="1:8" ht="44.25" x14ac:dyDescent="0.75">
      <c r="A175" s="1" t="s">
        <v>24</v>
      </c>
      <c r="B175" s="1" t="s">
        <v>36</v>
      </c>
      <c r="C175" s="1" t="s">
        <v>109</v>
      </c>
      <c r="D175" s="1" t="s">
        <v>20</v>
      </c>
      <c r="E175" s="1" t="s">
        <v>20</v>
      </c>
      <c r="F175" s="1" t="s">
        <v>20</v>
      </c>
      <c r="G175" s="1" t="s">
        <v>20</v>
      </c>
      <c r="H175" s="1" t="s">
        <v>141</v>
      </c>
    </row>
    <row r="176" spans="1:8" ht="59" x14ac:dyDescent="0.75">
      <c r="A176" s="1" t="s">
        <v>31</v>
      </c>
      <c r="B176" s="1" t="s">
        <v>142</v>
      </c>
      <c r="C176" s="1" t="s">
        <v>26</v>
      </c>
      <c r="D176" s="1" t="s">
        <v>20</v>
      </c>
      <c r="E176" s="1" t="s">
        <v>143</v>
      </c>
      <c r="F176" s="1" t="s">
        <v>20</v>
      </c>
      <c r="G176" s="1" t="s">
        <v>20</v>
      </c>
      <c r="H176" s="1" t="s">
        <v>20</v>
      </c>
    </row>
    <row r="177" spans="1:8" ht="59" x14ac:dyDescent="0.75">
      <c r="A177" s="1" t="s">
        <v>21</v>
      </c>
      <c r="B177" s="1" t="s">
        <v>25</v>
      </c>
      <c r="C177" s="1" t="s">
        <v>55</v>
      </c>
      <c r="D177" s="1" t="s">
        <v>20</v>
      </c>
      <c r="E177" s="1" t="s">
        <v>20</v>
      </c>
      <c r="F177" s="1" t="s">
        <v>144</v>
      </c>
      <c r="G177" s="1" t="s">
        <v>20</v>
      </c>
      <c r="H177" s="1" t="s">
        <v>20</v>
      </c>
    </row>
    <row r="178" spans="1:8" ht="59" x14ac:dyDescent="0.75">
      <c r="A178" s="1" t="s">
        <v>24</v>
      </c>
      <c r="B178" s="1" t="s">
        <v>17</v>
      </c>
      <c r="C178" s="1" t="s">
        <v>69</v>
      </c>
      <c r="D178" s="1" t="s">
        <v>20</v>
      </c>
      <c r="E178" s="1" t="s">
        <v>145</v>
      </c>
      <c r="F178" s="1" t="s">
        <v>20</v>
      </c>
      <c r="G178" s="1" t="s">
        <v>20</v>
      </c>
      <c r="H178" s="1" t="s">
        <v>20</v>
      </c>
    </row>
    <row r="179" spans="1:8" ht="59" x14ac:dyDescent="0.75">
      <c r="A179" s="1" t="s">
        <v>24</v>
      </c>
      <c r="B179" s="1" t="s">
        <v>25</v>
      </c>
      <c r="C179" s="1" t="s">
        <v>18</v>
      </c>
      <c r="D179" s="1" t="s">
        <v>20</v>
      </c>
      <c r="E179" s="1" t="s">
        <v>20</v>
      </c>
      <c r="F179" s="1" t="s">
        <v>20</v>
      </c>
      <c r="G179" s="1" t="s">
        <v>20</v>
      </c>
      <c r="H179" s="1" t="s">
        <v>20</v>
      </c>
    </row>
    <row r="180" spans="1:8" ht="59" x14ac:dyDescent="0.75">
      <c r="A180" s="1" t="s">
        <v>31</v>
      </c>
      <c r="B180" s="1" t="s">
        <v>17</v>
      </c>
      <c r="C180" s="1" t="s">
        <v>38</v>
      </c>
      <c r="D180" s="1" t="s">
        <v>20</v>
      </c>
      <c r="E180" s="1" t="s">
        <v>20</v>
      </c>
      <c r="F180" s="1" t="s">
        <v>20</v>
      </c>
      <c r="G180" s="1" t="s">
        <v>20</v>
      </c>
      <c r="H180" s="1" t="s">
        <v>20</v>
      </c>
    </row>
    <row r="181" spans="1:8" ht="59" x14ac:dyDescent="0.75">
      <c r="A181" s="1" t="s">
        <v>16</v>
      </c>
      <c r="B181" s="1" t="s">
        <v>25</v>
      </c>
      <c r="C181" s="1" t="s">
        <v>41</v>
      </c>
      <c r="D181" s="1" t="s">
        <v>20</v>
      </c>
      <c r="E181" s="1" t="s">
        <v>146</v>
      </c>
      <c r="F181" s="1" t="s">
        <v>20</v>
      </c>
      <c r="G181" s="1" t="s">
        <v>20</v>
      </c>
      <c r="H181" s="1" t="s">
        <v>20</v>
      </c>
    </row>
    <row r="182" spans="1:8" ht="59" x14ac:dyDescent="0.75">
      <c r="A182" s="1" t="s">
        <v>24</v>
      </c>
      <c r="B182" s="1" t="s">
        <v>25</v>
      </c>
      <c r="C182" s="1" t="s">
        <v>46</v>
      </c>
      <c r="D182" s="1" t="s">
        <v>20</v>
      </c>
      <c r="E182" s="1" t="s">
        <v>20</v>
      </c>
      <c r="F182" s="1" t="s">
        <v>20</v>
      </c>
      <c r="G182" s="1" t="s">
        <v>20</v>
      </c>
      <c r="H182" s="1" t="s">
        <v>147</v>
      </c>
    </row>
    <row r="183" spans="1:8" ht="59" x14ac:dyDescent="0.75">
      <c r="A183" s="1" t="s">
        <v>24</v>
      </c>
      <c r="B183" s="1" t="s">
        <v>25</v>
      </c>
      <c r="C183" s="1" t="s">
        <v>46</v>
      </c>
      <c r="D183" s="1" t="s">
        <v>148</v>
      </c>
      <c r="E183" s="1" t="s">
        <v>20</v>
      </c>
      <c r="F183" s="1" t="s">
        <v>20</v>
      </c>
      <c r="G183" s="1" t="s">
        <v>20</v>
      </c>
      <c r="H183" s="1" t="s">
        <v>20</v>
      </c>
    </row>
    <row r="184" spans="1:8" ht="103.25" x14ac:dyDescent="0.75">
      <c r="A184" s="1" t="s">
        <v>16</v>
      </c>
      <c r="B184" s="1" t="s">
        <v>22</v>
      </c>
      <c r="C184" s="1" t="s">
        <v>29</v>
      </c>
      <c r="D184" s="1" t="s">
        <v>20</v>
      </c>
      <c r="E184" s="1" t="s">
        <v>20</v>
      </c>
      <c r="F184" s="1" t="s">
        <v>20</v>
      </c>
      <c r="G184" s="1" t="s">
        <v>20</v>
      </c>
      <c r="H184" s="1" t="s">
        <v>20</v>
      </c>
    </row>
    <row r="185" spans="1:8" ht="88.5" x14ac:dyDescent="0.75">
      <c r="A185" s="1" t="s">
        <v>24</v>
      </c>
      <c r="B185" s="1" t="s">
        <v>74</v>
      </c>
      <c r="C185" s="1" t="s">
        <v>55</v>
      </c>
      <c r="D185" s="1" t="s">
        <v>20</v>
      </c>
      <c r="E185" s="1" t="s">
        <v>20</v>
      </c>
      <c r="F185" s="1" t="s">
        <v>20</v>
      </c>
      <c r="G185" s="1" t="s">
        <v>149</v>
      </c>
      <c r="H185" s="1" t="s">
        <v>20</v>
      </c>
    </row>
    <row r="186" spans="1:8" ht="59" x14ac:dyDescent="0.75">
      <c r="A186" s="1" t="s">
        <v>31</v>
      </c>
      <c r="B186" s="1" t="s">
        <v>25</v>
      </c>
      <c r="C186" s="1" t="s">
        <v>38</v>
      </c>
      <c r="D186" s="1" t="s">
        <v>20</v>
      </c>
      <c r="E186" s="1" t="s">
        <v>20</v>
      </c>
      <c r="F186" s="1" t="s">
        <v>20</v>
      </c>
      <c r="G186" s="1" t="s">
        <v>20</v>
      </c>
      <c r="H186" s="1" t="s">
        <v>20</v>
      </c>
    </row>
    <row r="187" spans="1:8" ht="59" x14ac:dyDescent="0.75">
      <c r="A187" s="1" t="s">
        <v>16</v>
      </c>
      <c r="B187" s="1" t="s">
        <v>142</v>
      </c>
      <c r="C187" s="1" t="s">
        <v>44</v>
      </c>
      <c r="D187" s="1" t="s">
        <v>20</v>
      </c>
      <c r="E187" s="1" t="s">
        <v>20</v>
      </c>
      <c r="F187" s="1" t="s">
        <v>20</v>
      </c>
      <c r="G187" s="1" t="s">
        <v>20</v>
      </c>
      <c r="H187" s="1" t="s">
        <v>20</v>
      </c>
    </row>
    <row r="188" spans="1:8" ht="59" x14ac:dyDescent="0.75">
      <c r="A188" s="1" t="s">
        <v>16</v>
      </c>
      <c r="B188" s="1" t="s">
        <v>25</v>
      </c>
      <c r="C188" s="1" t="s">
        <v>35</v>
      </c>
      <c r="D188" s="1" t="s">
        <v>20</v>
      </c>
      <c r="E188" s="1" t="s">
        <v>20</v>
      </c>
      <c r="F188" s="1" t="s">
        <v>20</v>
      </c>
      <c r="G188" s="1" t="s">
        <v>20</v>
      </c>
      <c r="H188" s="1" t="s">
        <v>20</v>
      </c>
    </row>
    <row r="189" spans="1:8" ht="59" x14ac:dyDescent="0.75">
      <c r="A189" s="1" t="s">
        <v>16</v>
      </c>
      <c r="B189" s="1" t="s">
        <v>25</v>
      </c>
      <c r="C189" s="1" t="s">
        <v>35</v>
      </c>
      <c r="D189" s="1" t="s">
        <v>20</v>
      </c>
      <c r="E189" s="1" t="s">
        <v>20</v>
      </c>
      <c r="F189" s="1" t="s">
        <v>20</v>
      </c>
      <c r="G189" s="1" t="s">
        <v>20</v>
      </c>
      <c r="H189" s="1" t="s">
        <v>20</v>
      </c>
    </row>
    <row r="190" spans="1:8" ht="59" x14ac:dyDescent="0.75">
      <c r="A190" s="1" t="s">
        <v>21</v>
      </c>
      <c r="B190" s="1" t="s">
        <v>25</v>
      </c>
      <c r="C190" s="1" t="s">
        <v>26</v>
      </c>
      <c r="D190" s="1" t="s">
        <v>20</v>
      </c>
      <c r="E190" s="1" t="s">
        <v>20</v>
      </c>
      <c r="F190" s="1" t="s">
        <v>20</v>
      </c>
      <c r="G190" s="1" t="s">
        <v>20</v>
      </c>
      <c r="H190" s="1" t="s">
        <v>20</v>
      </c>
    </row>
    <row r="191" spans="1:8" ht="88.5" x14ac:dyDescent="0.75">
      <c r="A191" s="1" t="s">
        <v>31</v>
      </c>
      <c r="B191" s="1" t="s">
        <v>28</v>
      </c>
      <c r="C191" s="1" t="s">
        <v>38</v>
      </c>
      <c r="D191" s="1" t="s">
        <v>20</v>
      </c>
      <c r="E191" s="1" t="s">
        <v>20</v>
      </c>
      <c r="F191" s="1" t="s">
        <v>20</v>
      </c>
      <c r="G191" s="1" t="s">
        <v>20</v>
      </c>
      <c r="H191" s="1" t="s">
        <v>20</v>
      </c>
    </row>
    <row r="192" spans="1:8" ht="73.75" x14ac:dyDescent="0.75">
      <c r="A192" s="1" t="s">
        <v>31</v>
      </c>
      <c r="B192" s="1" t="s">
        <v>25</v>
      </c>
      <c r="C192" s="1" t="s">
        <v>35</v>
      </c>
      <c r="D192" s="1" t="s">
        <v>20</v>
      </c>
      <c r="E192" s="1" t="s">
        <v>150</v>
      </c>
      <c r="F192" s="1" t="s">
        <v>20</v>
      </c>
      <c r="G192" s="1" t="s">
        <v>20</v>
      </c>
      <c r="H192" s="1" t="s">
        <v>20</v>
      </c>
    </row>
    <row r="193" spans="1:8" ht="59" x14ac:dyDescent="0.75">
      <c r="A193" s="1" t="s">
        <v>31</v>
      </c>
      <c r="B193" s="1" t="s">
        <v>17</v>
      </c>
      <c r="C193" s="1" t="s">
        <v>44</v>
      </c>
      <c r="D193" s="1" t="s">
        <v>20</v>
      </c>
      <c r="E193" s="1" t="s">
        <v>20</v>
      </c>
      <c r="F193" s="1" t="s">
        <v>20</v>
      </c>
      <c r="G193" s="1" t="s">
        <v>20</v>
      </c>
      <c r="H193" s="1" t="s">
        <v>151</v>
      </c>
    </row>
    <row r="194" spans="1:8" ht="59" x14ac:dyDescent="0.75">
      <c r="A194" s="1" t="s">
        <v>61</v>
      </c>
      <c r="B194" s="1" t="s">
        <v>152</v>
      </c>
      <c r="C194" s="1" t="s">
        <v>46</v>
      </c>
      <c r="D194" s="1" t="s">
        <v>20</v>
      </c>
      <c r="E194" s="1" t="s">
        <v>20</v>
      </c>
      <c r="F194" s="1" t="s">
        <v>153</v>
      </c>
      <c r="G194" s="1" t="s">
        <v>20</v>
      </c>
      <c r="H194" s="1" t="s">
        <v>20</v>
      </c>
    </row>
    <row r="195" spans="1:8" ht="88.5" x14ac:dyDescent="0.75">
      <c r="A195" s="1" t="s">
        <v>16</v>
      </c>
      <c r="B195" s="1" t="s">
        <v>32</v>
      </c>
      <c r="C195" s="1" t="s">
        <v>35</v>
      </c>
      <c r="D195" s="1" t="s">
        <v>20</v>
      </c>
      <c r="E195" s="1" t="s">
        <v>20</v>
      </c>
      <c r="F195" s="1" t="s">
        <v>20</v>
      </c>
      <c r="G195" s="1" t="s">
        <v>20</v>
      </c>
      <c r="H195" s="1" t="s">
        <v>20</v>
      </c>
    </row>
    <row r="196" spans="1:8" ht="59" x14ac:dyDescent="0.75">
      <c r="A196" s="1" t="s">
        <v>21</v>
      </c>
      <c r="B196" s="1" t="s">
        <v>25</v>
      </c>
      <c r="C196" s="1" t="s">
        <v>44</v>
      </c>
      <c r="D196" s="1" t="s">
        <v>20</v>
      </c>
      <c r="E196" s="1" t="s">
        <v>20</v>
      </c>
      <c r="F196" s="1" t="s">
        <v>20</v>
      </c>
      <c r="G196" s="1" t="s">
        <v>154</v>
      </c>
      <c r="H196" s="1" t="s">
        <v>20</v>
      </c>
    </row>
    <row r="197" spans="1:8" ht="59" x14ac:dyDescent="0.75">
      <c r="A197" s="1" t="s">
        <v>16</v>
      </c>
      <c r="B197" s="1" t="s">
        <v>25</v>
      </c>
      <c r="C197" s="1" t="s">
        <v>23</v>
      </c>
      <c r="D197" s="1" t="s">
        <v>20</v>
      </c>
      <c r="E197" s="1" t="s">
        <v>155</v>
      </c>
      <c r="F197" s="1" t="s">
        <v>20</v>
      </c>
      <c r="G197" s="1" t="s">
        <v>20</v>
      </c>
      <c r="H197" s="1" t="s">
        <v>20</v>
      </c>
    </row>
    <row r="198" spans="1:8" ht="44.25" x14ac:dyDescent="0.75">
      <c r="A198" s="1" t="s">
        <v>24</v>
      </c>
      <c r="B198" s="1" t="s">
        <v>22</v>
      </c>
      <c r="C198" s="1" t="s">
        <v>55</v>
      </c>
      <c r="D198" s="1" t="s">
        <v>20</v>
      </c>
      <c r="E198" s="1" t="s">
        <v>156</v>
      </c>
      <c r="F198" s="1" t="s">
        <v>20</v>
      </c>
      <c r="G198" s="1" t="s">
        <v>20</v>
      </c>
      <c r="H198" s="1" t="s">
        <v>20</v>
      </c>
    </row>
    <row r="199" spans="1:8" ht="59" x14ac:dyDescent="0.75">
      <c r="A199" s="1" t="s">
        <v>24</v>
      </c>
      <c r="B199" s="1" t="s">
        <v>17</v>
      </c>
      <c r="C199" s="1" t="s">
        <v>23</v>
      </c>
      <c r="D199" s="1" t="s">
        <v>20</v>
      </c>
      <c r="E199" s="1" t="s">
        <v>20</v>
      </c>
      <c r="F199" s="1" t="s">
        <v>20</v>
      </c>
      <c r="G199" s="1" t="s">
        <v>20</v>
      </c>
      <c r="H199" s="1" t="s">
        <v>20</v>
      </c>
    </row>
    <row r="200" spans="1:8" ht="59" x14ac:dyDescent="0.75">
      <c r="A200" s="1" t="s">
        <v>16</v>
      </c>
      <c r="B200" s="1" t="s">
        <v>142</v>
      </c>
      <c r="C200" s="1" t="s">
        <v>46</v>
      </c>
      <c r="D200" s="1" t="s">
        <v>20</v>
      </c>
      <c r="E200" s="1" t="s">
        <v>20</v>
      </c>
      <c r="F200" s="1" t="s">
        <v>20</v>
      </c>
      <c r="G200" s="1" t="s">
        <v>157</v>
      </c>
      <c r="H200" s="1" t="s">
        <v>20</v>
      </c>
    </row>
    <row r="201" spans="1:8" ht="44.25" x14ac:dyDescent="0.75">
      <c r="A201" s="1" t="s">
        <v>61</v>
      </c>
      <c r="B201" s="1" t="s">
        <v>36</v>
      </c>
      <c r="C201" s="1" t="s">
        <v>55</v>
      </c>
      <c r="D201" s="1" t="s">
        <v>20</v>
      </c>
      <c r="E201" s="1" t="s">
        <v>20</v>
      </c>
      <c r="F201" s="1" t="s">
        <v>20</v>
      </c>
      <c r="G201" s="1" t="s">
        <v>20</v>
      </c>
      <c r="H201" s="1" t="s">
        <v>20</v>
      </c>
    </row>
    <row r="202" spans="1:8" ht="103.25" x14ac:dyDescent="0.75">
      <c r="A202" s="1" t="s">
        <v>16</v>
      </c>
      <c r="B202" s="1" t="s">
        <v>28</v>
      </c>
      <c r="C202" s="1" t="s">
        <v>29</v>
      </c>
      <c r="D202" s="1" t="s">
        <v>20</v>
      </c>
      <c r="E202" s="1" t="s">
        <v>20</v>
      </c>
      <c r="F202" s="1" t="s">
        <v>158</v>
      </c>
      <c r="G202" s="1" t="s">
        <v>20</v>
      </c>
      <c r="H202" s="1" t="s">
        <v>20</v>
      </c>
    </row>
    <row r="203" spans="1:8" ht="59" x14ac:dyDescent="0.75">
      <c r="A203" s="1" t="s">
        <v>64</v>
      </c>
      <c r="B203" s="1" t="s">
        <v>25</v>
      </c>
      <c r="C203" s="1" t="s">
        <v>81</v>
      </c>
      <c r="D203" s="1" t="s">
        <v>20</v>
      </c>
      <c r="E203" s="1" t="s">
        <v>20</v>
      </c>
      <c r="F203" s="1" t="s">
        <v>20</v>
      </c>
      <c r="G203" s="1" t="s">
        <v>20</v>
      </c>
      <c r="H203" s="1" t="s">
        <v>20</v>
      </c>
    </row>
    <row r="204" spans="1:8" ht="88.5" x14ac:dyDescent="0.75">
      <c r="A204" s="1" t="s">
        <v>64</v>
      </c>
      <c r="B204" s="1" t="s">
        <v>32</v>
      </c>
      <c r="C204" s="1" t="s">
        <v>81</v>
      </c>
      <c r="D204" s="1" t="s">
        <v>20</v>
      </c>
      <c r="E204" s="1" t="s">
        <v>20</v>
      </c>
      <c r="F204" s="1" t="s">
        <v>20</v>
      </c>
      <c r="G204" s="1" t="s">
        <v>20</v>
      </c>
      <c r="H204" s="1" t="s">
        <v>20</v>
      </c>
    </row>
    <row r="205" spans="1:8" ht="73.75" x14ac:dyDescent="0.75">
      <c r="A205" s="1" t="s">
        <v>24</v>
      </c>
      <c r="B205" s="1" t="s">
        <v>25</v>
      </c>
      <c r="C205" s="1" t="s">
        <v>47</v>
      </c>
      <c r="D205" s="1" t="s">
        <v>20</v>
      </c>
      <c r="E205" s="1" t="s">
        <v>20</v>
      </c>
      <c r="F205" s="1" t="s">
        <v>20</v>
      </c>
      <c r="G205" s="1" t="s">
        <v>20</v>
      </c>
      <c r="H205" s="1" t="s">
        <v>159</v>
      </c>
    </row>
    <row r="206" spans="1:8" ht="59" x14ac:dyDescent="0.75">
      <c r="A206" s="1" t="s">
        <v>21</v>
      </c>
      <c r="B206" s="1" t="s">
        <v>25</v>
      </c>
      <c r="C206" s="1" t="s">
        <v>55</v>
      </c>
      <c r="D206" s="1" t="s">
        <v>20</v>
      </c>
      <c r="E206" s="1" t="s">
        <v>20</v>
      </c>
      <c r="F206" s="1" t="s">
        <v>20</v>
      </c>
      <c r="G206" s="1" t="s">
        <v>160</v>
      </c>
      <c r="H206" s="1" t="s">
        <v>20</v>
      </c>
    </row>
    <row r="207" spans="1:8" ht="59" x14ac:dyDescent="0.75">
      <c r="A207" s="1" t="s">
        <v>24</v>
      </c>
      <c r="B207" s="1" t="s">
        <v>25</v>
      </c>
      <c r="C207" s="1" t="s">
        <v>46</v>
      </c>
      <c r="D207" s="1" t="s">
        <v>20</v>
      </c>
      <c r="E207" s="1" t="s">
        <v>20</v>
      </c>
      <c r="F207" s="1" t="s">
        <v>161</v>
      </c>
      <c r="G207" s="1" t="s">
        <v>20</v>
      </c>
      <c r="H207" s="1" t="s">
        <v>20</v>
      </c>
    </row>
    <row r="208" spans="1:8" ht="88.5" x14ac:dyDescent="0.75">
      <c r="A208" s="1" t="s">
        <v>21</v>
      </c>
      <c r="B208" s="1" t="s">
        <v>28</v>
      </c>
      <c r="C208" s="1" t="s">
        <v>44</v>
      </c>
      <c r="D208" s="1" t="s">
        <v>20</v>
      </c>
      <c r="E208" s="1" t="s">
        <v>20</v>
      </c>
      <c r="F208" s="1" t="s">
        <v>20</v>
      </c>
      <c r="G208" s="1" t="s">
        <v>20</v>
      </c>
      <c r="H208" s="1" t="s">
        <v>20</v>
      </c>
    </row>
    <row r="209" spans="1:8" ht="59" x14ac:dyDescent="0.75">
      <c r="A209" s="1" t="s">
        <v>16</v>
      </c>
      <c r="B209" s="1" t="s">
        <v>17</v>
      </c>
      <c r="C209" s="1" t="s">
        <v>55</v>
      </c>
      <c r="D209" s="1" t="s">
        <v>20</v>
      </c>
      <c r="E209" s="1" t="s">
        <v>20</v>
      </c>
      <c r="F209" s="1" t="s">
        <v>20</v>
      </c>
      <c r="G209" s="1" t="s">
        <v>20</v>
      </c>
      <c r="H209" s="1" t="s">
        <v>20</v>
      </c>
    </row>
    <row r="210" spans="1:8" ht="103.25" x14ac:dyDescent="0.75">
      <c r="A210" s="1" t="s">
        <v>64</v>
      </c>
      <c r="B210" s="1" t="s">
        <v>25</v>
      </c>
      <c r="C210" s="1" t="s">
        <v>29</v>
      </c>
      <c r="D210" s="1" t="s">
        <v>20</v>
      </c>
      <c r="E210" s="1" t="s">
        <v>20</v>
      </c>
      <c r="F210" s="1" t="s">
        <v>20</v>
      </c>
      <c r="G210" s="1" t="s">
        <v>20</v>
      </c>
      <c r="H210" s="1" t="s">
        <v>20</v>
      </c>
    </row>
    <row r="211" spans="1:8" ht="59" x14ac:dyDescent="0.75">
      <c r="A211" s="1" t="s">
        <v>21</v>
      </c>
      <c r="B211" s="1" t="s">
        <v>22</v>
      </c>
      <c r="C211" s="1" t="s">
        <v>69</v>
      </c>
      <c r="D211" s="1" t="s">
        <v>20</v>
      </c>
      <c r="E211" s="1" t="s">
        <v>20</v>
      </c>
      <c r="F211" s="1" t="s">
        <v>20</v>
      </c>
      <c r="G211" s="1" t="s">
        <v>20</v>
      </c>
      <c r="H211" s="1" t="s">
        <v>20</v>
      </c>
    </row>
    <row r="212" spans="1:8" ht="59" x14ac:dyDescent="0.75">
      <c r="A212" s="1" t="s">
        <v>24</v>
      </c>
      <c r="B212" s="1" t="s">
        <v>22</v>
      </c>
      <c r="C212" s="1" t="s">
        <v>34</v>
      </c>
      <c r="D212" s="1" t="s">
        <v>20</v>
      </c>
      <c r="E212" s="1" t="s">
        <v>20</v>
      </c>
      <c r="F212" s="1" t="s">
        <v>20</v>
      </c>
      <c r="G212" s="1" t="s">
        <v>20</v>
      </c>
      <c r="H212" s="1" t="s">
        <v>162</v>
      </c>
    </row>
    <row r="213" spans="1:8" ht="59" x14ac:dyDescent="0.75">
      <c r="A213" s="1" t="s">
        <v>31</v>
      </c>
      <c r="B213" s="1" t="s">
        <v>25</v>
      </c>
      <c r="C213" s="1" t="s">
        <v>62</v>
      </c>
      <c r="D213" s="1" t="s">
        <v>20</v>
      </c>
      <c r="E213" s="1" t="s">
        <v>20</v>
      </c>
      <c r="F213" s="1" t="s">
        <v>20</v>
      </c>
      <c r="G213" s="1" t="s">
        <v>20</v>
      </c>
      <c r="H213" s="1" t="s">
        <v>20</v>
      </c>
    </row>
    <row r="214" spans="1:8" ht="59" x14ac:dyDescent="0.75">
      <c r="A214" s="1" t="s">
        <v>64</v>
      </c>
      <c r="B214" s="1" t="s">
        <v>36</v>
      </c>
      <c r="C214" s="1" t="s">
        <v>34</v>
      </c>
      <c r="D214" s="1" t="s">
        <v>20</v>
      </c>
      <c r="E214" s="1" t="s">
        <v>20</v>
      </c>
      <c r="F214" s="1" t="s">
        <v>20</v>
      </c>
      <c r="G214" s="1" t="s">
        <v>20</v>
      </c>
      <c r="H214" s="1" t="s">
        <v>20</v>
      </c>
    </row>
    <row r="215" spans="1:8" ht="59" x14ac:dyDescent="0.75">
      <c r="A215" s="1" t="s">
        <v>24</v>
      </c>
      <c r="B215" s="1" t="s">
        <v>25</v>
      </c>
      <c r="C215" s="1" t="s">
        <v>23</v>
      </c>
      <c r="D215" s="1" t="s">
        <v>20</v>
      </c>
      <c r="E215" s="1" t="s">
        <v>20</v>
      </c>
      <c r="F215" s="1" t="s">
        <v>20</v>
      </c>
      <c r="G215" s="1" t="s">
        <v>20</v>
      </c>
      <c r="H215" s="1" t="s">
        <v>20</v>
      </c>
    </row>
    <row r="216" spans="1:8" ht="59" x14ac:dyDescent="0.75">
      <c r="A216" s="1" t="s">
        <v>24</v>
      </c>
      <c r="B216" s="1" t="s">
        <v>25</v>
      </c>
      <c r="C216" s="1" t="s">
        <v>62</v>
      </c>
      <c r="D216" s="1" t="s">
        <v>20</v>
      </c>
      <c r="E216" s="1" t="s">
        <v>163</v>
      </c>
      <c r="F216" s="1" t="s">
        <v>20</v>
      </c>
      <c r="G216" s="1" t="s">
        <v>20</v>
      </c>
      <c r="H216" s="1" t="s">
        <v>20</v>
      </c>
    </row>
    <row r="217" spans="1:8" ht="88.5" x14ac:dyDescent="0.75">
      <c r="A217" s="1" t="s">
        <v>24</v>
      </c>
      <c r="B217" s="1" t="s">
        <v>28</v>
      </c>
      <c r="C217" s="1" t="s">
        <v>34</v>
      </c>
      <c r="D217" s="1" t="s">
        <v>20</v>
      </c>
      <c r="E217" s="1" t="s">
        <v>20</v>
      </c>
      <c r="F217" s="1" t="s">
        <v>20</v>
      </c>
      <c r="G217" s="1" t="s">
        <v>20</v>
      </c>
      <c r="H217" s="1" t="s">
        <v>20</v>
      </c>
    </row>
    <row r="218" spans="1:8" ht="103.25" x14ac:dyDescent="0.75">
      <c r="A218" s="1" t="s">
        <v>16</v>
      </c>
      <c r="B218" s="1" t="s">
        <v>25</v>
      </c>
      <c r="C218" s="1" t="s">
        <v>29</v>
      </c>
      <c r="D218" s="1" t="s">
        <v>20</v>
      </c>
      <c r="E218" s="1" t="s">
        <v>164</v>
      </c>
      <c r="F218" s="1" t="s">
        <v>20</v>
      </c>
      <c r="G218" s="1" t="s">
        <v>20</v>
      </c>
      <c r="H218" s="1" t="s">
        <v>20</v>
      </c>
    </row>
    <row r="219" spans="1:8" ht="44.25" x14ac:dyDescent="0.75">
      <c r="A219" s="1" t="s">
        <v>79</v>
      </c>
      <c r="B219" s="1" t="s">
        <v>36</v>
      </c>
      <c r="C219" s="1" t="s">
        <v>38</v>
      </c>
      <c r="D219" s="1" t="s">
        <v>20</v>
      </c>
      <c r="E219" s="1" t="s">
        <v>20</v>
      </c>
      <c r="F219" s="1" t="s">
        <v>165</v>
      </c>
      <c r="G219" s="1" t="s">
        <v>20</v>
      </c>
      <c r="H219" s="1" t="s">
        <v>20</v>
      </c>
    </row>
    <row r="220" spans="1:8" ht="88.5" x14ac:dyDescent="0.75">
      <c r="A220" s="1" t="s">
        <v>31</v>
      </c>
      <c r="B220" s="1" t="s">
        <v>28</v>
      </c>
      <c r="C220" s="1" t="s">
        <v>47</v>
      </c>
      <c r="D220" s="1" t="s">
        <v>20</v>
      </c>
      <c r="E220" s="1" t="s">
        <v>20</v>
      </c>
      <c r="F220" s="1" t="s">
        <v>20</v>
      </c>
      <c r="G220" s="1" t="s">
        <v>20</v>
      </c>
      <c r="H220" s="1" t="s">
        <v>20</v>
      </c>
    </row>
    <row r="221" spans="1:8" ht="59" x14ac:dyDescent="0.75">
      <c r="A221" s="1" t="s">
        <v>24</v>
      </c>
      <c r="B221" s="1" t="s">
        <v>36</v>
      </c>
      <c r="C221" s="1" t="s">
        <v>40</v>
      </c>
      <c r="D221" s="1" t="s">
        <v>20</v>
      </c>
      <c r="E221" s="1" t="s">
        <v>20</v>
      </c>
      <c r="F221" s="1" t="s">
        <v>20</v>
      </c>
      <c r="G221" s="1" t="s">
        <v>20</v>
      </c>
      <c r="H221" s="1" t="s">
        <v>20</v>
      </c>
    </row>
    <row r="222" spans="1:8" ht="59" x14ac:dyDescent="0.75">
      <c r="A222" s="1" t="s">
        <v>16</v>
      </c>
      <c r="B222" s="1" t="s">
        <v>25</v>
      </c>
      <c r="C222" s="1" t="s">
        <v>42</v>
      </c>
      <c r="D222" s="1" t="s">
        <v>20</v>
      </c>
      <c r="E222" s="1" t="s">
        <v>20</v>
      </c>
      <c r="F222" s="1" t="s">
        <v>20</v>
      </c>
      <c r="G222" s="1" t="s">
        <v>20</v>
      </c>
      <c r="H222" s="1" t="s">
        <v>20</v>
      </c>
    </row>
    <row r="223" spans="1:8" ht="44.25" x14ac:dyDescent="0.75">
      <c r="A223" s="1" t="s">
        <v>31</v>
      </c>
      <c r="B223" s="1" t="s">
        <v>22</v>
      </c>
      <c r="C223" s="1" t="s">
        <v>23</v>
      </c>
      <c r="D223" s="1" t="s">
        <v>20</v>
      </c>
      <c r="E223" s="1" t="s">
        <v>20</v>
      </c>
      <c r="F223" s="1" t="s">
        <v>20</v>
      </c>
      <c r="G223" s="1" t="s">
        <v>20</v>
      </c>
      <c r="H223" s="1" t="s">
        <v>20</v>
      </c>
    </row>
    <row r="224" spans="1:8" ht="88.5" x14ac:dyDescent="0.75">
      <c r="A224" s="1" t="s">
        <v>16</v>
      </c>
      <c r="B224" s="1" t="s">
        <v>28</v>
      </c>
      <c r="C224" s="1" t="s">
        <v>40</v>
      </c>
      <c r="D224" s="1" t="s">
        <v>20</v>
      </c>
      <c r="E224" s="1" t="s">
        <v>20</v>
      </c>
      <c r="F224" s="1" t="s">
        <v>20</v>
      </c>
      <c r="G224" s="1" t="s">
        <v>20</v>
      </c>
      <c r="H224" s="1" t="s">
        <v>20</v>
      </c>
    </row>
    <row r="225" spans="1:8" ht="103.25" x14ac:dyDescent="0.75">
      <c r="A225" s="1" t="s">
        <v>24</v>
      </c>
      <c r="B225" s="1" t="s">
        <v>28</v>
      </c>
      <c r="C225" s="1" t="s">
        <v>29</v>
      </c>
      <c r="D225" s="1" t="s">
        <v>20</v>
      </c>
      <c r="E225" s="1" t="s">
        <v>20</v>
      </c>
      <c r="F225" s="1" t="s">
        <v>20</v>
      </c>
      <c r="G225" s="1" t="s">
        <v>20</v>
      </c>
      <c r="H225" s="1" t="s">
        <v>20</v>
      </c>
    </row>
    <row r="226" spans="1:8" ht="88.5" x14ac:dyDescent="0.75">
      <c r="A226" s="1" t="s">
        <v>64</v>
      </c>
      <c r="B226" s="1" t="s">
        <v>32</v>
      </c>
      <c r="C226" s="1" t="s">
        <v>40</v>
      </c>
      <c r="D226" s="1" t="s">
        <v>20</v>
      </c>
      <c r="E226" s="1" t="s">
        <v>20</v>
      </c>
      <c r="F226" s="1" t="s">
        <v>20</v>
      </c>
      <c r="G226" s="1" t="s">
        <v>20</v>
      </c>
      <c r="H226" s="1" t="s">
        <v>20</v>
      </c>
    </row>
    <row r="227" spans="1:8" ht="44.25" x14ac:dyDescent="0.75">
      <c r="A227" s="1" t="s">
        <v>21</v>
      </c>
      <c r="B227" s="1" t="s">
        <v>22</v>
      </c>
      <c r="C227" s="1" t="s">
        <v>109</v>
      </c>
      <c r="D227" s="1" t="s">
        <v>20</v>
      </c>
      <c r="E227" s="1" t="s">
        <v>20</v>
      </c>
      <c r="F227" s="1" t="s">
        <v>166</v>
      </c>
      <c r="G227" s="1" t="s">
        <v>20</v>
      </c>
      <c r="H227" s="1" t="s">
        <v>20</v>
      </c>
    </row>
    <row r="228" spans="1:8" ht="88.5" x14ac:dyDescent="0.75">
      <c r="A228" s="1" t="s">
        <v>24</v>
      </c>
      <c r="B228" s="1" t="s">
        <v>36</v>
      </c>
      <c r="C228" s="1" t="s">
        <v>40</v>
      </c>
      <c r="D228" s="1" t="s">
        <v>20</v>
      </c>
      <c r="E228" s="1" t="s">
        <v>20</v>
      </c>
      <c r="F228" s="1" t="s">
        <v>167</v>
      </c>
      <c r="G228" s="1" t="s">
        <v>20</v>
      </c>
      <c r="H228" s="1" t="s">
        <v>20</v>
      </c>
    </row>
    <row r="229" spans="1:8" ht="88.5" x14ac:dyDescent="0.75">
      <c r="A229" s="1" t="s">
        <v>21</v>
      </c>
      <c r="B229" s="1" t="s">
        <v>28</v>
      </c>
      <c r="C229" s="1" t="s">
        <v>18</v>
      </c>
      <c r="D229" s="1" t="s">
        <v>20</v>
      </c>
      <c r="E229" s="1" t="s">
        <v>20</v>
      </c>
      <c r="F229" s="1" t="s">
        <v>20</v>
      </c>
      <c r="G229" s="1" t="s">
        <v>20</v>
      </c>
      <c r="H229" s="1" t="s">
        <v>168</v>
      </c>
    </row>
    <row r="230" spans="1:8" ht="59" x14ac:dyDescent="0.75">
      <c r="A230" s="1" t="s">
        <v>24</v>
      </c>
      <c r="B230" s="1" t="s">
        <v>25</v>
      </c>
      <c r="C230" s="1" t="s">
        <v>35</v>
      </c>
      <c r="D230" s="1" t="s">
        <v>20</v>
      </c>
      <c r="E230" s="1" t="s">
        <v>20</v>
      </c>
      <c r="F230" s="1" t="s">
        <v>169</v>
      </c>
      <c r="G230" s="1" t="s">
        <v>20</v>
      </c>
      <c r="H230" s="1" t="s">
        <v>20</v>
      </c>
    </row>
    <row r="231" spans="1:8" ht="88.5" x14ac:dyDescent="0.75">
      <c r="A231" s="1" t="s">
        <v>24</v>
      </c>
      <c r="B231" s="1" t="s">
        <v>28</v>
      </c>
      <c r="C231" s="1" t="s">
        <v>109</v>
      </c>
      <c r="D231" s="1" t="s">
        <v>20</v>
      </c>
      <c r="E231" s="1" t="s">
        <v>20</v>
      </c>
      <c r="F231" s="1" t="s">
        <v>170</v>
      </c>
      <c r="G231" s="1" t="s">
        <v>20</v>
      </c>
      <c r="H231" s="1" t="s">
        <v>20</v>
      </c>
    </row>
    <row r="232" spans="1:8" ht="59" x14ac:dyDescent="0.75">
      <c r="A232" s="1" t="s">
        <v>24</v>
      </c>
      <c r="B232" s="1" t="s">
        <v>25</v>
      </c>
      <c r="C232" s="1" t="s">
        <v>34</v>
      </c>
      <c r="D232" s="1" t="s">
        <v>20</v>
      </c>
      <c r="E232" s="1" t="s">
        <v>20</v>
      </c>
      <c r="F232" s="1" t="s">
        <v>20</v>
      </c>
      <c r="G232" s="1" t="s">
        <v>20</v>
      </c>
      <c r="H232" s="1" t="s">
        <v>20</v>
      </c>
    </row>
    <row r="233" spans="1:8" ht="44.25" x14ac:dyDescent="0.75">
      <c r="A233" s="1" t="s">
        <v>31</v>
      </c>
      <c r="B233" s="1" t="s">
        <v>22</v>
      </c>
      <c r="C233" s="1" t="s">
        <v>42</v>
      </c>
      <c r="D233" s="1" t="s">
        <v>20</v>
      </c>
      <c r="E233" s="1" t="s">
        <v>20</v>
      </c>
      <c r="F233" s="1" t="s">
        <v>20</v>
      </c>
      <c r="G233" s="1" t="s">
        <v>20</v>
      </c>
      <c r="H233" s="1" t="s">
        <v>20</v>
      </c>
    </row>
    <row r="234" spans="1:8" ht="59" x14ac:dyDescent="0.75">
      <c r="A234" s="1" t="s">
        <v>24</v>
      </c>
      <c r="B234" s="1" t="s">
        <v>25</v>
      </c>
      <c r="C234" s="1" t="s">
        <v>44</v>
      </c>
      <c r="D234" s="1" t="s">
        <v>20</v>
      </c>
      <c r="E234" s="1" t="s">
        <v>20</v>
      </c>
      <c r="F234" s="1" t="s">
        <v>20</v>
      </c>
      <c r="G234" s="1" t="s">
        <v>20</v>
      </c>
      <c r="H234" s="1" t="s">
        <v>20</v>
      </c>
    </row>
    <row r="235" spans="1:8" ht="59" x14ac:dyDescent="0.75">
      <c r="A235" s="1" t="s">
        <v>21</v>
      </c>
      <c r="B235" s="1" t="s">
        <v>25</v>
      </c>
      <c r="C235" s="1" t="s">
        <v>44</v>
      </c>
      <c r="D235" s="1" t="s">
        <v>20</v>
      </c>
      <c r="E235" s="1" t="s">
        <v>20</v>
      </c>
      <c r="F235" s="1" t="s">
        <v>20</v>
      </c>
      <c r="G235" s="1" t="s">
        <v>20</v>
      </c>
      <c r="H235" s="1" t="s">
        <v>20</v>
      </c>
    </row>
    <row r="236" spans="1:8" ht="44.25" x14ac:dyDescent="0.75">
      <c r="A236" s="1" t="s">
        <v>64</v>
      </c>
      <c r="B236" s="1" t="s">
        <v>36</v>
      </c>
      <c r="C236" s="1" t="s">
        <v>81</v>
      </c>
      <c r="D236" s="1" t="s">
        <v>20</v>
      </c>
      <c r="E236" s="1" t="s">
        <v>20</v>
      </c>
      <c r="F236" s="1" t="s">
        <v>20</v>
      </c>
      <c r="G236" s="1" t="s">
        <v>20</v>
      </c>
      <c r="H236" s="1" t="s">
        <v>20</v>
      </c>
    </row>
    <row r="237" spans="1:8" ht="59" x14ac:dyDescent="0.75">
      <c r="A237" s="1" t="s">
        <v>21</v>
      </c>
      <c r="B237" s="1" t="s">
        <v>25</v>
      </c>
      <c r="C237" s="1" t="s">
        <v>44</v>
      </c>
      <c r="D237" s="1" t="s">
        <v>20</v>
      </c>
      <c r="E237" s="1" t="s">
        <v>20</v>
      </c>
      <c r="F237" s="1" t="s">
        <v>20</v>
      </c>
      <c r="G237" s="1" t="s">
        <v>20</v>
      </c>
      <c r="H237" s="1" t="s">
        <v>20</v>
      </c>
    </row>
    <row r="238" spans="1:8" ht="88.5" x14ac:dyDescent="0.75">
      <c r="A238" s="1" t="s">
        <v>61</v>
      </c>
      <c r="B238" s="1" t="s">
        <v>28</v>
      </c>
      <c r="C238" s="1" t="s">
        <v>38</v>
      </c>
      <c r="D238" s="1" t="s">
        <v>20</v>
      </c>
      <c r="E238" s="1" t="s">
        <v>20</v>
      </c>
      <c r="F238" s="1" t="s">
        <v>20</v>
      </c>
      <c r="G238" s="1" t="s">
        <v>20</v>
      </c>
      <c r="H238" s="1" t="s">
        <v>20</v>
      </c>
    </row>
    <row r="239" spans="1:8" ht="59" x14ac:dyDescent="0.75">
      <c r="A239" s="1" t="s">
        <v>31</v>
      </c>
      <c r="B239" s="1" t="s">
        <v>25</v>
      </c>
      <c r="C239" s="1" t="s">
        <v>38</v>
      </c>
      <c r="D239" s="1" t="s">
        <v>171</v>
      </c>
      <c r="E239" s="1" t="s">
        <v>20</v>
      </c>
      <c r="F239" s="1" t="s">
        <v>20</v>
      </c>
      <c r="G239" s="1" t="s">
        <v>20</v>
      </c>
      <c r="H239" s="1" t="s">
        <v>20</v>
      </c>
    </row>
    <row r="240" spans="1:8" ht="59" x14ac:dyDescent="0.75">
      <c r="A240" s="1" t="s">
        <v>21</v>
      </c>
      <c r="B240" s="1" t="s">
        <v>36</v>
      </c>
      <c r="C240" s="1" t="s">
        <v>69</v>
      </c>
      <c r="D240" s="1" t="s">
        <v>20</v>
      </c>
      <c r="E240" s="1" t="s">
        <v>20</v>
      </c>
      <c r="F240" s="1" t="s">
        <v>20</v>
      </c>
      <c r="G240" s="1" t="s">
        <v>172</v>
      </c>
      <c r="H240" s="1" t="s">
        <v>20</v>
      </c>
    </row>
    <row r="241" spans="1:8" ht="88.5" x14ac:dyDescent="0.75">
      <c r="A241" s="1" t="s">
        <v>24</v>
      </c>
      <c r="B241" s="1" t="s">
        <v>28</v>
      </c>
      <c r="C241" s="1" t="s">
        <v>40</v>
      </c>
      <c r="D241" s="1" t="s">
        <v>20</v>
      </c>
      <c r="E241" s="1" t="s">
        <v>20</v>
      </c>
      <c r="F241" s="1" t="s">
        <v>20</v>
      </c>
      <c r="G241" s="1" t="s">
        <v>20</v>
      </c>
      <c r="H241" s="1" t="s">
        <v>20</v>
      </c>
    </row>
    <row r="242" spans="1:8" ht="88.5" x14ac:dyDescent="0.75">
      <c r="A242" s="1" t="s">
        <v>16</v>
      </c>
      <c r="B242" s="1" t="s">
        <v>32</v>
      </c>
      <c r="C242" s="1" t="s">
        <v>34</v>
      </c>
      <c r="D242" s="1" t="s">
        <v>173</v>
      </c>
      <c r="E242" s="1" t="s">
        <v>20</v>
      </c>
      <c r="F242" s="1" t="s">
        <v>20</v>
      </c>
      <c r="G242" s="1" t="s">
        <v>20</v>
      </c>
      <c r="H242" s="1" t="s">
        <v>20</v>
      </c>
    </row>
    <row r="243" spans="1:8" ht="59" x14ac:dyDescent="0.75">
      <c r="A243" s="1" t="s">
        <v>21</v>
      </c>
      <c r="B243" s="1" t="s">
        <v>25</v>
      </c>
      <c r="C243" s="1" t="s">
        <v>26</v>
      </c>
      <c r="D243" s="1" t="s">
        <v>20</v>
      </c>
      <c r="E243" s="1" t="s">
        <v>174</v>
      </c>
      <c r="F243" s="1" t="s">
        <v>20</v>
      </c>
      <c r="G243" s="1" t="s">
        <v>20</v>
      </c>
      <c r="H243" s="1" t="s">
        <v>20</v>
      </c>
    </row>
    <row r="244" spans="1:8" ht="59" x14ac:dyDescent="0.75">
      <c r="A244" s="1" t="s">
        <v>24</v>
      </c>
      <c r="B244" s="1" t="s">
        <v>25</v>
      </c>
      <c r="C244" s="1" t="s">
        <v>34</v>
      </c>
      <c r="D244" s="1" t="s">
        <v>20</v>
      </c>
      <c r="E244" s="1" t="s">
        <v>175</v>
      </c>
      <c r="F244" s="1" t="s">
        <v>20</v>
      </c>
      <c r="G244" s="1" t="s">
        <v>20</v>
      </c>
      <c r="H244" s="1" t="s">
        <v>20</v>
      </c>
    </row>
    <row r="245" spans="1:8" ht="29.5" x14ac:dyDescent="0.75">
      <c r="A245" s="1" t="s">
        <v>21</v>
      </c>
      <c r="B245" s="1" t="s">
        <v>22</v>
      </c>
      <c r="C245" s="1" t="s">
        <v>18</v>
      </c>
      <c r="D245" s="1" t="s">
        <v>176</v>
      </c>
      <c r="E245" s="1" t="s">
        <v>20</v>
      </c>
      <c r="F245" s="1" t="s">
        <v>20</v>
      </c>
      <c r="G245" s="1" t="s">
        <v>20</v>
      </c>
      <c r="H245" s="1" t="s">
        <v>20</v>
      </c>
    </row>
    <row r="246" spans="1:8" ht="29.5" x14ac:dyDescent="0.75">
      <c r="A246" s="1" t="s">
        <v>16</v>
      </c>
      <c r="B246" s="1" t="s">
        <v>22</v>
      </c>
      <c r="C246" s="1" t="s">
        <v>26</v>
      </c>
      <c r="D246" s="1" t="s">
        <v>20</v>
      </c>
      <c r="E246" s="1" t="s">
        <v>20</v>
      </c>
      <c r="F246" s="1" t="s">
        <v>20</v>
      </c>
      <c r="G246" s="1" t="s">
        <v>20</v>
      </c>
      <c r="H246" s="1" t="s">
        <v>20</v>
      </c>
    </row>
    <row r="247" spans="1:8" ht="88.5" x14ac:dyDescent="0.75">
      <c r="A247" s="1" t="s">
        <v>21</v>
      </c>
      <c r="B247" s="1" t="s">
        <v>28</v>
      </c>
      <c r="C247" s="1" t="s">
        <v>18</v>
      </c>
      <c r="D247" s="1" t="s">
        <v>177</v>
      </c>
      <c r="E247" s="1" t="s">
        <v>20</v>
      </c>
      <c r="F247" s="1" t="s">
        <v>20</v>
      </c>
      <c r="G247" s="1" t="s">
        <v>20</v>
      </c>
      <c r="H247" s="1" t="s">
        <v>20</v>
      </c>
    </row>
    <row r="248" spans="1:8" ht="59" x14ac:dyDescent="0.75">
      <c r="A248" s="1" t="s">
        <v>24</v>
      </c>
      <c r="B248" s="1" t="s">
        <v>25</v>
      </c>
      <c r="C248" s="1" t="s">
        <v>62</v>
      </c>
      <c r="D248" s="1" t="s">
        <v>178</v>
      </c>
      <c r="E248" s="1" t="s">
        <v>20</v>
      </c>
      <c r="F248" s="1" t="s">
        <v>20</v>
      </c>
      <c r="G248" s="1" t="s">
        <v>20</v>
      </c>
      <c r="H248" s="1" t="s">
        <v>20</v>
      </c>
    </row>
    <row r="249" spans="1:8" ht="88.5" x14ac:dyDescent="0.75">
      <c r="A249" s="1" t="s">
        <v>16</v>
      </c>
      <c r="B249" s="1" t="s">
        <v>32</v>
      </c>
      <c r="C249" s="1" t="s">
        <v>44</v>
      </c>
      <c r="D249" s="1" t="s">
        <v>179</v>
      </c>
      <c r="E249" s="1" t="s">
        <v>20</v>
      </c>
      <c r="F249" s="1" t="s">
        <v>20</v>
      </c>
      <c r="G249" s="1" t="s">
        <v>20</v>
      </c>
      <c r="H249" s="1" t="s">
        <v>20</v>
      </c>
    </row>
    <row r="250" spans="1:8" ht="103.25" x14ac:dyDescent="0.75">
      <c r="A250" s="1" t="s">
        <v>24</v>
      </c>
      <c r="B250" s="1" t="s">
        <v>17</v>
      </c>
      <c r="C250" s="1" t="s">
        <v>29</v>
      </c>
      <c r="D250" s="1" t="s">
        <v>20</v>
      </c>
      <c r="E250" s="1" t="s">
        <v>20</v>
      </c>
      <c r="F250" s="1" t="s">
        <v>20</v>
      </c>
      <c r="G250" s="1" t="s">
        <v>20</v>
      </c>
      <c r="H250" s="1" t="s">
        <v>20</v>
      </c>
    </row>
    <row r="251" spans="1:8" ht="59" x14ac:dyDescent="0.75">
      <c r="A251" s="1" t="s">
        <v>21</v>
      </c>
      <c r="B251" s="1" t="s">
        <v>25</v>
      </c>
      <c r="C251" s="1" t="s">
        <v>42</v>
      </c>
      <c r="D251" s="1" t="s">
        <v>180</v>
      </c>
      <c r="E251" s="1" t="s">
        <v>20</v>
      </c>
      <c r="F251" s="1" t="s">
        <v>20</v>
      </c>
      <c r="G251" s="1" t="s">
        <v>20</v>
      </c>
      <c r="H251" s="1" t="s">
        <v>20</v>
      </c>
    </row>
    <row r="252" spans="1:8" ht="88.5" x14ac:dyDescent="0.75">
      <c r="A252" s="1" t="s">
        <v>16</v>
      </c>
      <c r="B252" s="1" t="s">
        <v>28</v>
      </c>
      <c r="C252" s="1" t="s">
        <v>46</v>
      </c>
      <c r="D252" s="1" t="s">
        <v>20</v>
      </c>
      <c r="E252" s="1" t="s">
        <v>20</v>
      </c>
      <c r="F252" s="1" t="s">
        <v>20</v>
      </c>
      <c r="G252" s="1" t="s">
        <v>20</v>
      </c>
      <c r="H252" s="1" t="s">
        <v>20</v>
      </c>
    </row>
    <row r="253" spans="1:8" ht="59" x14ac:dyDescent="0.75">
      <c r="A253" s="1" t="s">
        <v>64</v>
      </c>
      <c r="B253" s="1" t="s">
        <v>25</v>
      </c>
      <c r="C253" s="1" t="s">
        <v>69</v>
      </c>
      <c r="D253" s="1" t="s">
        <v>181</v>
      </c>
      <c r="E253" s="1" t="s">
        <v>20</v>
      </c>
      <c r="F253" s="1" t="s">
        <v>20</v>
      </c>
      <c r="G253" s="1" t="s">
        <v>20</v>
      </c>
      <c r="H253" s="1" t="s">
        <v>20</v>
      </c>
    </row>
    <row r="254" spans="1:8" ht="88.5" x14ac:dyDescent="0.75">
      <c r="A254" s="1" t="s">
        <v>79</v>
      </c>
      <c r="B254" s="1" t="s">
        <v>28</v>
      </c>
      <c r="C254" s="1" t="s">
        <v>38</v>
      </c>
      <c r="D254" s="1" t="s">
        <v>20</v>
      </c>
      <c r="E254" s="1" t="s">
        <v>20</v>
      </c>
      <c r="F254" s="1" t="s">
        <v>20</v>
      </c>
      <c r="G254" s="1" t="s">
        <v>20</v>
      </c>
      <c r="H254" s="1" t="s">
        <v>20</v>
      </c>
    </row>
    <row r="255" spans="1:8" ht="29.5" x14ac:dyDescent="0.75">
      <c r="A255" s="1" t="s">
        <v>61</v>
      </c>
      <c r="B255" s="1" t="s">
        <v>22</v>
      </c>
      <c r="C255" s="1" t="s">
        <v>38</v>
      </c>
      <c r="D255" s="1" t="s">
        <v>20</v>
      </c>
      <c r="E255" s="1" t="s">
        <v>20</v>
      </c>
      <c r="F255" s="1" t="s">
        <v>20</v>
      </c>
      <c r="G255" s="1" t="s">
        <v>20</v>
      </c>
      <c r="H255" s="1" t="s">
        <v>20</v>
      </c>
    </row>
    <row r="256" spans="1:8" ht="59" x14ac:dyDescent="0.75">
      <c r="A256" s="1" t="s">
        <v>31</v>
      </c>
      <c r="B256" s="1" t="s">
        <v>22</v>
      </c>
      <c r="C256" s="1" t="s">
        <v>40</v>
      </c>
      <c r="D256" s="1" t="s">
        <v>20</v>
      </c>
      <c r="E256" s="1" t="s">
        <v>20</v>
      </c>
      <c r="F256" s="1" t="s">
        <v>20</v>
      </c>
      <c r="G256" s="1" t="s">
        <v>20</v>
      </c>
      <c r="H256" s="1" t="s">
        <v>20</v>
      </c>
    </row>
    <row r="257" spans="1:8" ht="103.25" x14ac:dyDescent="0.75">
      <c r="A257" s="1" t="s">
        <v>16</v>
      </c>
      <c r="B257" s="1" t="s">
        <v>25</v>
      </c>
      <c r="C257" s="1" t="s">
        <v>29</v>
      </c>
      <c r="D257" s="1" t="s">
        <v>20</v>
      </c>
      <c r="E257" s="1" t="s">
        <v>20</v>
      </c>
      <c r="F257" s="1" t="s">
        <v>20</v>
      </c>
      <c r="G257" s="1" t="s">
        <v>20</v>
      </c>
      <c r="H257" s="1" t="s">
        <v>20</v>
      </c>
    </row>
    <row r="258" spans="1:8" ht="59" x14ac:dyDescent="0.75">
      <c r="A258" s="1" t="s">
        <v>16</v>
      </c>
      <c r="B258" s="1" t="s">
        <v>25</v>
      </c>
      <c r="C258" s="1" t="s">
        <v>38</v>
      </c>
      <c r="D258" s="1" t="s">
        <v>20</v>
      </c>
      <c r="E258" s="1" t="s">
        <v>20</v>
      </c>
      <c r="F258" s="1" t="s">
        <v>20</v>
      </c>
      <c r="G258" s="1" t="s">
        <v>20</v>
      </c>
      <c r="H258" s="1" t="s">
        <v>20</v>
      </c>
    </row>
    <row r="259" spans="1:8" ht="88.5" x14ac:dyDescent="0.75">
      <c r="A259" s="4"/>
      <c r="B259" s="1" t="s">
        <v>28</v>
      </c>
      <c r="C259" s="1" t="s">
        <v>38</v>
      </c>
      <c r="H259" s="1" t="s">
        <v>190</v>
      </c>
    </row>
    <row r="260" spans="1:8" ht="88.5" x14ac:dyDescent="0.75">
      <c r="A260" s="4"/>
      <c r="B260" s="1" t="s">
        <v>28</v>
      </c>
      <c r="C260" s="1" t="s">
        <v>109</v>
      </c>
      <c r="H260" s="1" t="s">
        <v>191</v>
      </c>
    </row>
    <row r="261" spans="1:8" ht="59" x14ac:dyDescent="0.75">
      <c r="A261" s="4"/>
      <c r="B261" s="1" t="s">
        <v>17</v>
      </c>
      <c r="C261" s="1" t="s">
        <v>26</v>
      </c>
      <c r="H261" s="1" t="s">
        <v>192</v>
      </c>
    </row>
    <row r="262" spans="1:8" ht="59" x14ac:dyDescent="0.75">
      <c r="A262" s="4"/>
      <c r="B262" s="1" t="s">
        <v>142</v>
      </c>
      <c r="C262" s="1" t="s">
        <v>98</v>
      </c>
      <c r="H262" s="1" t="s">
        <v>193</v>
      </c>
    </row>
    <row r="263" spans="1:8" ht="59" x14ac:dyDescent="0.75">
      <c r="A263" s="4"/>
      <c r="B263" s="1" t="s">
        <v>36</v>
      </c>
      <c r="C263" s="1" t="s">
        <v>40</v>
      </c>
      <c r="H263" s="1" t="s">
        <v>194</v>
      </c>
    </row>
    <row r="264" spans="1:8" ht="59" x14ac:dyDescent="0.75">
      <c r="A264" s="1" t="s">
        <v>21</v>
      </c>
      <c r="B264" s="1" t="s">
        <v>25</v>
      </c>
      <c r="C264" s="1" t="s">
        <v>44</v>
      </c>
      <c r="D264" s="1" t="s">
        <v>195</v>
      </c>
    </row>
    <row r="265" spans="1:8" ht="59" x14ac:dyDescent="0.75">
      <c r="A265" s="1" t="s">
        <v>24</v>
      </c>
      <c r="B265" s="1" t="s">
        <v>25</v>
      </c>
      <c r="C265" s="1" t="s">
        <v>23</v>
      </c>
      <c r="D265" s="1" t="s">
        <v>196</v>
      </c>
    </row>
  </sheetData>
  <autoFilter ref="A2:H265" xr:uid="{00000000-0009-0000-0000-000000000000}"/>
  <pageMargins left="0.7" right="0.7" top="0.75" bottom="0.75" header="0.3" footer="0.3"/>
  <ignoredErrors>
    <ignoredError sqref="A1:A258 B1:B258 C1:C258 D1:D258 E1:E258 F1:F258 G1:G258 H1:H258"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7C8B8A-A211-4FF1-9CD1-9F1A9D7B0D6C}">
  <dimension ref="A1:T34"/>
  <sheetViews>
    <sheetView workbookViewId="0">
      <selection sqref="A1:A2"/>
    </sheetView>
  </sheetViews>
  <sheetFormatPr defaultRowHeight="14.75" x14ac:dyDescent="0.75"/>
  <cols>
    <col min="1" max="1" width="13.2265625" customWidth="1"/>
    <col min="2" max="2" width="77.04296875" customWidth="1"/>
    <col min="7" max="7" width="42.81640625" customWidth="1"/>
    <col min="8" max="8" width="17.04296875" customWidth="1"/>
    <col min="14" max="14" width="16.76953125" customWidth="1"/>
  </cols>
  <sheetData>
    <row r="1" spans="1:20" x14ac:dyDescent="0.75">
      <c r="A1" s="12" t="s">
        <v>263</v>
      </c>
      <c r="B1" s="12" t="s">
        <v>3</v>
      </c>
      <c r="C1" s="12"/>
      <c r="D1" s="12"/>
      <c r="E1" s="12"/>
      <c r="F1" s="12"/>
      <c r="G1" s="12" t="s">
        <v>203</v>
      </c>
      <c r="H1" s="12" t="s">
        <v>204</v>
      </c>
    </row>
    <row r="2" spans="1:20" x14ac:dyDescent="0.75">
      <c r="A2" s="12" t="s">
        <v>264</v>
      </c>
      <c r="B2" s="12" t="s">
        <v>182</v>
      </c>
      <c r="C2" s="12" t="s">
        <v>262</v>
      </c>
      <c r="D2" s="12" t="s">
        <v>200</v>
      </c>
      <c r="E2" s="12" t="s">
        <v>201</v>
      </c>
      <c r="F2" s="12" t="s">
        <v>202</v>
      </c>
      <c r="G2" s="12"/>
      <c r="H2" s="12"/>
    </row>
    <row r="3" spans="1:20" x14ac:dyDescent="0.75">
      <c r="A3" t="s">
        <v>265</v>
      </c>
      <c r="B3" s="10" t="s">
        <v>19</v>
      </c>
      <c r="C3" s="3" t="b">
        <v>0</v>
      </c>
      <c r="D3" s="3" t="b">
        <v>0</v>
      </c>
      <c r="E3" s="11" t="s">
        <v>201</v>
      </c>
      <c r="F3" s="3" t="b">
        <v>0</v>
      </c>
      <c r="G3" t="s">
        <v>205</v>
      </c>
      <c r="H3">
        <v>2</v>
      </c>
      <c r="N3" s="14" t="s">
        <v>11</v>
      </c>
      <c r="O3" s="14"/>
      <c r="P3" s="14"/>
      <c r="Q3" s="14"/>
      <c r="R3" s="14"/>
      <c r="S3" s="14"/>
      <c r="T3" s="14"/>
    </row>
    <row r="4" spans="1:20" x14ac:dyDescent="0.75">
      <c r="A4" t="s">
        <v>265</v>
      </c>
      <c r="B4" s="10" t="s">
        <v>54</v>
      </c>
      <c r="C4" s="3" t="b">
        <v>0</v>
      </c>
      <c r="D4" s="3" t="b">
        <v>0</v>
      </c>
      <c r="E4" s="11" t="s">
        <v>201</v>
      </c>
      <c r="F4" s="3" t="b">
        <v>0</v>
      </c>
      <c r="G4" t="s">
        <v>206</v>
      </c>
      <c r="H4">
        <v>2</v>
      </c>
      <c r="J4" s="8"/>
      <c r="K4" s="8"/>
      <c r="L4" s="8"/>
      <c r="N4" s="14"/>
      <c r="O4" s="14"/>
      <c r="P4" s="14"/>
      <c r="Q4" s="14"/>
      <c r="R4" s="14"/>
      <c r="S4" s="14"/>
      <c r="T4" s="14"/>
    </row>
    <row r="5" spans="1:20" x14ac:dyDescent="0.75">
      <c r="B5" s="1" t="s">
        <v>66</v>
      </c>
      <c r="C5" s="3" t="b">
        <v>0</v>
      </c>
      <c r="D5" s="3" t="b">
        <v>0</v>
      </c>
      <c r="E5" s="3" t="b">
        <v>1</v>
      </c>
      <c r="F5" s="3" t="b">
        <v>0</v>
      </c>
      <c r="G5" t="s">
        <v>207</v>
      </c>
      <c r="H5">
        <v>2</v>
      </c>
      <c r="J5" s="8"/>
      <c r="K5" s="8"/>
      <c r="L5" s="8"/>
      <c r="N5" s="14"/>
      <c r="O5" s="14"/>
      <c r="P5" s="14"/>
      <c r="Q5" s="14"/>
      <c r="R5" s="14"/>
      <c r="S5" s="14"/>
      <c r="T5" s="14"/>
    </row>
    <row r="6" spans="1:20" x14ac:dyDescent="0.75">
      <c r="B6" s="1" t="s">
        <v>67</v>
      </c>
      <c r="C6" s="3" t="b">
        <v>0</v>
      </c>
      <c r="D6" s="3" t="b">
        <v>0</v>
      </c>
      <c r="E6" s="3" t="b">
        <v>0</v>
      </c>
      <c r="F6" s="3" t="b">
        <v>1</v>
      </c>
      <c r="G6" t="s">
        <v>208</v>
      </c>
      <c r="H6">
        <v>3</v>
      </c>
      <c r="J6" s="8"/>
      <c r="K6" s="8"/>
      <c r="L6" s="8"/>
      <c r="N6" s="14"/>
      <c r="O6" s="14"/>
      <c r="P6" s="14"/>
      <c r="Q6" s="14"/>
      <c r="R6" s="14"/>
      <c r="S6" s="14"/>
      <c r="T6" s="14"/>
    </row>
    <row r="7" spans="1:20" x14ac:dyDescent="0.75">
      <c r="B7" s="1" t="s">
        <v>68</v>
      </c>
      <c r="C7" s="3" t="b">
        <v>1</v>
      </c>
      <c r="D7" s="3" t="b">
        <v>0</v>
      </c>
      <c r="E7" s="3" t="b">
        <v>0</v>
      </c>
      <c r="F7" s="3" t="b">
        <v>0</v>
      </c>
      <c r="G7" t="s">
        <v>209</v>
      </c>
      <c r="H7">
        <v>3</v>
      </c>
      <c r="J7" s="8"/>
      <c r="K7" s="8"/>
      <c r="L7" s="8"/>
      <c r="N7" s="14"/>
      <c r="O7" s="14"/>
      <c r="P7" s="14"/>
      <c r="Q7" s="14"/>
      <c r="R7" s="14"/>
      <c r="S7" s="14"/>
      <c r="T7" s="14"/>
    </row>
    <row r="8" spans="1:20" x14ac:dyDescent="0.75">
      <c r="B8" s="1" t="s">
        <v>77</v>
      </c>
      <c r="C8" s="3" t="b">
        <v>1</v>
      </c>
      <c r="D8" s="3" t="b">
        <v>0</v>
      </c>
      <c r="E8" s="3" t="b">
        <v>0</v>
      </c>
      <c r="F8" s="3" t="b">
        <v>0</v>
      </c>
      <c r="G8" t="s">
        <v>209</v>
      </c>
      <c r="H8">
        <v>3</v>
      </c>
      <c r="J8" s="8"/>
      <c r="K8" s="8"/>
      <c r="L8" s="8"/>
      <c r="N8" s="14"/>
      <c r="O8" s="14"/>
      <c r="P8" s="14"/>
      <c r="Q8" s="14"/>
      <c r="R8" s="14"/>
      <c r="S8" s="14"/>
      <c r="T8" s="14"/>
    </row>
    <row r="9" spans="1:20" x14ac:dyDescent="0.75">
      <c r="B9" s="1" t="s">
        <v>95</v>
      </c>
      <c r="C9" s="3" t="b">
        <v>1</v>
      </c>
      <c r="D9" s="3" t="b">
        <v>0</v>
      </c>
      <c r="E9" s="3" t="b">
        <v>0</v>
      </c>
      <c r="F9" s="3" t="b">
        <v>0</v>
      </c>
      <c r="G9" t="s">
        <v>209</v>
      </c>
      <c r="H9">
        <v>3</v>
      </c>
      <c r="J9" s="8"/>
      <c r="K9" s="8"/>
      <c r="L9" s="8"/>
      <c r="N9" s="14"/>
      <c r="O9" s="14"/>
      <c r="P9" s="14"/>
      <c r="Q9" s="14"/>
      <c r="R9" s="14"/>
      <c r="S9" s="14"/>
      <c r="T9" s="14"/>
    </row>
    <row r="10" spans="1:20" x14ac:dyDescent="0.75">
      <c r="B10" s="1" t="s">
        <v>96</v>
      </c>
      <c r="C10" s="3" t="b">
        <v>0</v>
      </c>
      <c r="D10" s="3" t="b">
        <v>0</v>
      </c>
      <c r="E10" s="3" t="b">
        <v>0</v>
      </c>
      <c r="F10" s="3" t="b">
        <v>1</v>
      </c>
      <c r="G10" t="s">
        <v>210</v>
      </c>
      <c r="H10">
        <v>3</v>
      </c>
      <c r="J10" s="8"/>
      <c r="K10" s="8"/>
      <c r="L10" s="8"/>
      <c r="N10" s="14"/>
      <c r="O10" s="14"/>
      <c r="P10" s="14"/>
      <c r="Q10" s="14"/>
      <c r="R10" s="14"/>
      <c r="S10" s="14"/>
      <c r="T10" s="14"/>
    </row>
    <row r="11" spans="1:20" x14ac:dyDescent="0.75">
      <c r="B11" s="1" t="s">
        <v>99</v>
      </c>
      <c r="C11" s="3" t="b">
        <v>0</v>
      </c>
      <c r="D11" s="3" t="b">
        <v>0</v>
      </c>
      <c r="E11" s="3" t="b">
        <v>1</v>
      </c>
      <c r="F11" s="3" t="b">
        <v>0</v>
      </c>
      <c r="G11" t="s">
        <v>211</v>
      </c>
      <c r="H11">
        <v>2</v>
      </c>
      <c r="J11" s="8"/>
      <c r="K11" s="8"/>
      <c r="L11" s="8"/>
      <c r="N11" s="14"/>
      <c r="O11" s="14"/>
      <c r="P11" s="14"/>
      <c r="Q11" s="14"/>
      <c r="R11" s="14"/>
      <c r="S11" s="14"/>
      <c r="T11" s="14"/>
    </row>
    <row r="12" spans="1:20" x14ac:dyDescent="0.75">
      <c r="B12" s="1" t="s">
        <v>105</v>
      </c>
      <c r="C12" s="3" t="b">
        <v>1</v>
      </c>
      <c r="D12" s="3" t="b">
        <v>0</v>
      </c>
      <c r="E12" s="3" t="b">
        <v>0</v>
      </c>
      <c r="F12" s="3" t="b">
        <v>0</v>
      </c>
      <c r="G12" t="s">
        <v>209</v>
      </c>
      <c r="H12">
        <v>3</v>
      </c>
      <c r="J12" s="8"/>
      <c r="K12" s="8"/>
      <c r="L12" s="8"/>
      <c r="N12" s="14"/>
      <c r="O12" s="14"/>
      <c r="P12" s="14"/>
      <c r="Q12" s="14"/>
      <c r="R12" s="14"/>
      <c r="S12" s="14"/>
      <c r="T12" s="14"/>
    </row>
    <row r="13" spans="1:20" x14ac:dyDescent="0.75">
      <c r="A13" t="s">
        <v>265</v>
      </c>
      <c r="B13" s="10" t="s">
        <v>113</v>
      </c>
      <c r="C13" s="3" t="b">
        <v>0</v>
      </c>
      <c r="D13" s="3" t="b">
        <v>0</v>
      </c>
      <c r="E13" s="11" t="s">
        <v>201</v>
      </c>
      <c r="F13" s="3" t="b">
        <v>0</v>
      </c>
      <c r="G13" t="s">
        <v>212</v>
      </c>
      <c r="H13">
        <v>2</v>
      </c>
      <c r="J13" s="8"/>
      <c r="K13" s="8"/>
      <c r="L13" s="8"/>
      <c r="N13" s="14"/>
      <c r="O13" s="14"/>
      <c r="P13" s="14"/>
      <c r="Q13" s="14"/>
      <c r="R13" s="14"/>
      <c r="S13" s="14"/>
      <c r="T13" s="14"/>
    </row>
    <row r="14" spans="1:20" x14ac:dyDescent="0.75">
      <c r="B14" s="1" t="s">
        <v>115</v>
      </c>
      <c r="C14" s="3" t="b">
        <v>0</v>
      </c>
      <c r="D14" s="3" t="b">
        <v>0</v>
      </c>
      <c r="E14" s="3" t="b">
        <v>1</v>
      </c>
      <c r="F14" s="3" t="b">
        <v>0</v>
      </c>
      <c r="G14" t="s">
        <v>212</v>
      </c>
      <c r="H14">
        <v>2</v>
      </c>
      <c r="N14" s="14"/>
      <c r="O14" s="14"/>
      <c r="P14" s="14"/>
      <c r="Q14" s="14"/>
      <c r="R14" s="14"/>
      <c r="S14" s="14"/>
      <c r="T14" s="14"/>
    </row>
    <row r="15" spans="1:20" x14ac:dyDescent="0.75">
      <c r="B15" s="1" t="s">
        <v>121</v>
      </c>
      <c r="C15" s="3" t="b">
        <v>0</v>
      </c>
      <c r="D15" s="3" t="b">
        <v>0</v>
      </c>
      <c r="E15" s="3" t="b">
        <v>0</v>
      </c>
      <c r="F15" s="3" t="b">
        <v>1</v>
      </c>
      <c r="G15" t="s">
        <v>213</v>
      </c>
      <c r="H15">
        <v>3</v>
      </c>
      <c r="N15" s="14"/>
      <c r="O15" s="14"/>
      <c r="P15" s="14"/>
      <c r="Q15" s="14"/>
      <c r="R15" s="14"/>
      <c r="S15" s="14"/>
      <c r="T15" s="14"/>
    </row>
    <row r="16" spans="1:20" ht="29.5" x14ac:dyDescent="0.75">
      <c r="B16" s="1" t="s">
        <v>127</v>
      </c>
      <c r="C16" s="3" t="b">
        <v>0</v>
      </c>
      <c r="D16" s="3" t="b">
        <v>0</v>
      </c>
      <c r="E16" s="3" t="b">
        <v>0</v>
      </c>
      <c r="F16" s="3" t="b">
        <v>1</v>
      </c>
      <c r="G16" t="s">
        <v>214</v>
      </c>
      <c r="H16">
        <v>3</v>
      </c>
      <c r="N16" s="14"/>
      <c r="O16" s="14"/>
      <c r="P16" s="14"/>
      <c r="Q16" s="14"/>
      <c r="R16" s="14"/>
      <c r="S16" s="14"/>
      <c r="T16" s="14"/>
    </row>
    <row r="17" spans="1:20" x14ac:dyDescent="0.75">
      <c r="B17" s="1" t="s">
        <v>132</v>
      </c>
      <c r="C17" s="3" t="b">
        <v>0</v>
      </c>
      <c r="D17" s="3" t="b">
        <v>0</v>
      </c>
      <c r="E17" s="3" t="b">
        <v>1</v>
      </c>
      <c r="F17" s="3" t="b">
        <v>0</v>
      </c>
      <c r="G17" t="s">
        <v>212</v>
      </c>
      <c r="H17">
        <v>2</v>
      </c>
      <c r="N17" s="14"/>
      <c r="O17" s="14"/>
      <c r="P17" s="14"/>
      <c r="Q17" s="14"/>
      <c r="R17" s="14"/>
      <c r="S17" s="14"/>
      <c r="T17" s="14"/>
    </row>
    <row r="18" spans="1:20" x14ac:dyDescent="0.75">
      <c r="B18" s="1" t="s">
        <v>134</v>
      </c>
      <c r="C18" s="3" t="b">
        <v>0</v>
      </c>
      <c r="D18" s="3" t="b">
        <v>0</v>
      </c>
      <c r="E18" s="3" t="b">
        <v>1</v>
      </c>
      <c r="F18" s="3" t="b">
        <v>0</v>
      </c>
      <c r="G18" t="s">
        <v>212</v>
      </c>
      <c r="H18">
        <v>2</v>
      </c>
      <c r="N18" s="14"/>
      <c r="O18" s="14"/>
      <c r="P18" s="14"/>
      <c r="Q18" s="14"/>
      <c r="R18" s="14"/>
      <c r="S18" s="14"/>
      <c r="T18" s="14"/>
    </row>
    <row r="19" spans="1:20" x14ac:dyDescent="0.75">
      <c r="B19" s="1" t="s">
        <v>137</v>
      </c>
      <c r="C19" s="3" t="b">
        <v>1</v>
      </c>
      <c r="D19" s="3" t="b">
        <v>0</v>
      </c>
      <c r="E19" s="3" t="b">
        <v>0</v>
      </c>
      <c r="F19" s="3" t="b">
        <v>0</v>
      </c>
      <c r="G19" t="s">
        <v>209</v>
      </c>
      <c r="H19">
        <v>3</v>
      </c>
      <c r="N19" s="14"/>
      <c r="O19" s="14"/>
      <c r="P19" s="14"/>
      <c r="Q19" s="14"/>
      <c r="R19" s="14"/>
      <c r="S19" s="14"/>
      <c r="T19" s="14"/>
    </row>
    <row r="20" spans="1:20" x14ac:dyDescent="0.75">
      <c r="B20" s="1" t="s">
        <v>140</v>
      </c>
      <c r="C20" s="3" t="b">
        <v>1</v>
      </c>
      <c r="D20" s="3" t="b">
        <v>0</v>
      </c>
      <c r="E20" s="3" t="b">
        <v>0</v>
      </c>
      <c r="F20" s="3" t="b">
        <v>0</v>
      </c>
      <c r="G20" t="s">
        <v>209</v>
      </c>
      <c r="H20">
        <v>3</v>
      </c>
      <c r="N20" s="14"/>
      <c r="O20" s="14"/>
      <c r="P20" s="14"/>
      <c r="Q20" s="14"/>
      <c r="R20" s="14"/>
      <c r="S20" s="14"/>
      <c r="T20" s="14"/>
    </row>
    <row r="21" spans="1:20" ht="29.5" x14ac:dyDescent="0.75">
      <c r="A21" t="s">
        <v>265</v>
      </c>
      <c r="B21" s="10" t="s">
        <v>148</v>
      </c>
      <c r="C21" s="3" t="b">
        <v>0</v>
      </c>
      <c r="D21" s="3" t="b">
        <v>0</v>
      </c>
      <c r="E21" s="11" t="s">
        <v>201</v>
      </c>
      <c r="F21" s="3" t="b">
        <v>0</v>
      </c>
      <c r="G21" t="s">
        <v>212</v>
      </c>
      <c r="H21">
        <v>2</v>
      </c>
      <c r="N21" s="14"/>
      <c r="O21" s="14"/>
      <c r="P21" s="14"/>
      <c r="Q21" s="14"/>
      <c r="R21" s="14"/>
      <c r="S21" s="14"/>
      <c r="T21" s="14"/>
    </row>
    <row r="22" spans="1:20" ht="29.5" x14ac:dyDescent="0.75">
      <c r="B22" s="1" t="s">
        <v>171</v>
      </c>
      <c r="C22" s="3" t="b">
        <v>1</v>
      </c>
      <c r="D22" s="3" t="b">
        <v>0</v>
      </c>
      <c r="E22" s="3" t="b">
        <v>0</v>
      </c>
      <c r="F22" s="3" t="b">
        <v>0</v>
      </c>
      <c r="G22" t="s">
        <v>209</v>
      </c>
      <c r="H22">
        <v>3</v>
      </c>
      <c r="N22" s="14"/>
      <c r="O22" s="14"/>
      <c r="P22" s="14"/>
      <c r="Q22" s="14"/>
      <c r="R22" s="14"/>
      <c r="S22" s="14"/>
      <c r="T22" s="14"/>
    </row>
    <row r="23" spans="1:20" x14ac:dyDescent="0.75">
      <c r="B23" s="1" t="s">
        <v>173</v>
      </c>
      <c r="C23" s="3" t="b">
        <v>0</v>
      </c>
      <c r="D23" s="3" t="b">
        <v>0</v>
      </c>
      <c r="E23" s="3" t="b">
        <v>0</v>
      </c>
      <c r="F23" s="3" t="b">
        <v>1</v>
      </c>
      <c r="G23" t="s">
        <v>215</v>
      </c>
      <c r="H23">
        <v>3</v>
      </c>
      <c r="N23" s="14"/>
      <c r="O23" s="14"/>
      <c r="P23" s="14"/>
      <c r="Q23" s="14"/>
      <c r="R23" s="14"/>
      <c r="S23" s="14"/>
      <c r="T23" s="14"/>
    </row>
    <row r="24" spans="1:20" x14ac:dyDescent="0.75">
      <c r="B24" s="1" t="s">
        <v>176</v>
      </c>
      <c r="C24" s="3" t="b">
        <v>0</v>
      </c>
      <c r="D24" s="3" t="b">
        <v>0</v>
      </c>
      <c r="E24" s="3" t="b">
        <v>0</v>
      </c>
      <c r="F24" s="3" t="b">
        <v>1</v>
      </c>
      <c r="G24" t="s">
        <v>215</v>
      </c>
      <c r="H24">
        <v>3</v>
      </c>
      <c r="N24" s="14"/>
      <c r="O24" s="14"/>
      <c r="P24" s="14"/>
      <c r="Q24" s="14"/>
      <c r="R24" s="14"/>
      <c r="S24" s="14"/>
      <c r="T24" s="14"/>
    </row>
    <row r="25" spans="1:20" x14ac:dyDescent="0.75">
      <c r="B25" s="1" t="s">
        <v>177</v>
      </c>
      <c r="C25" s="3" t="b">
        <v>0</v>
      </c>
      <c r="D25" s="3" t="b">
        <v>0</v>
      </c>
      <c r="E25" s="3" t="b">
        <v>1</v>
      </c>
      <c r="F25" s="3" t="b">
        <v>0</v>
      </c>
      <c r="G25" t="s">
        <v>216</v>
      </c>
      <c r="H25">
        <v>2</v>
      </c>
      <c r="N25" s="14"/>
      <c r="O25" s="14"/>
      <c r="P25" s="14"/>
      <c r="Q25" s="14"/>
      <c r="R25" s="14"/>
      <c r="S25" s="14"/>
      <c r="T25" s="14"/>
    </row>
    <row r="26" spans="1:20" x14ac:dyDescent="0.75">
      <c r="A26" t="s">
        <v>265</v>
      </c>
      <c r="B26" s="10" t="s">
        <v>178</v>
      </c>
      <c r="C26" s="11" t="s">
        <v>262</v>
      </c>
      <c r="D26" s="3" t="b">
        <v>0</v>
      </c>
      <c r="E26" s="3" t="b">
        <v>0</v>
      </c>
      <c r="F26" s="3" t="b">
        <v>0</v>
      </c>
      <c r="G26" t="s">
        <v>209</v>
      </c>
      <c r="H26">
        <v>3</v>
      </c>
      <c r="N26" s="14"/>
      <c r="O26" s="14"/>
      <c r="P26" s="14"/>
      <c r="Q26" s="14"/>
      <c r="R26" s="14"/>
      <c r="S26" s="14"/>
      <c r="T26" s="14"/>
    </row>
    <row r="27" spans="1:20" x14ac:dyDescent="0.75">
      <c r="B27" s="1" t="s">
        <v>179</v>
      </c>
      <c r="C27" s="3" t="b">
        <v>1</v>
      </c>
      <c r="D27" s="3" t="b">
        <v>0</v>
      </c>
      <c r="E27" s="3" t="b">
        <v>0</v>
      </c>
      <c r="F27" s="3" t="b">
        <v>0</v>
      </c>
      <c r="G27" t="s">
        <v>209</v>
      </c>
      <c r="H27">
        <v>3</v>
      </c>
    </row>
    <row r="28" spans="1:20" x14ac:dyDescent="0.75">
      <c r="B28" s="1" t="s">
        <v>180</v>
      </c>
      <c r="C28" s="3" t="b">
        <v>0</v>
      </c>
      <c r="D28" s="3" t="b">
        <v>0</v>
      </c>
      <c r="E28" s="3" t="b">
        <v>0</v>
      </c>
      <c r="F28" s="3" t="b">
        <v>1</v>
      </c>
      <c r="G28" t="s">
        <v>217</v>
      </c>
      <c r="H28">
        <v>3</v>
      </c>
    </row>
    <row r="29" spans="1:20" x14ac:dyDescent="0.75">
      <c r="B29" s="1" t="s">
        <v>181</v>
      </c>
      <c r="C29" s="3" t="b">
        <v>0</v>
      </c>
      <c r="D29" s="3" t="b">
        <v>0</v>
      </c>
      <c r="E29" s="3" t="b">
        <v>1</v>
      </c>
      <c r="F29" s="3" t="b">
        <v>0</v>
      </c>
      <c r="G29" t="s">
        <v>216</v>
      </c>
      <c r="H29">
        <v>2</v>
      </c>
      <c r="N29" t="s">
        <v>198</v>
      </c>
      <c r="O29" s="15" t="s">
        <v>199</v>
      </c>
      <c r="P29" s="15"/>
      <c r="Q29" s="15"/>
      <c r="R29" s="15"/>
      <c r="S29" s="15"/>
      <c r="T29" s="15"/>
    </row>
    <row r="30" spans="1:20" x14ac:dyDescent="0.75">
      <c r="B30" s="1" t="s">
        <v>195</v>
      </c>
      <c r="C30" s="3" t="b">
        <v>0</v>
      </c>
      <c r="D30" s="3" t="b">
        <v>0</v>
      </c>
      <c r="E30" s="3" t="b">
        <v>0</v>
      </c>
      <c r="F30" s="3" t="b">
        <v>1</v>
      </c>
      <c r="G30" t="s">
        <v>254</v>
      </c>
      <c r="H30">
        <v>3</v>
      </c>
    </row>
    <row r="31" spans="1:20" x14ac:dyDescent="0.75">
      <c r="B31" s="1" t="s">
        <v>196</v>
      </c>
      <c r="C31" s="3" t="b">
        <v>0</v>
      </c>
      <c r="D31" s="3" t="b">
        <v>0</v>
      </c>
      <c r="E31" s="3" t="b">
        <v>0</v>
      </c>
      <c r="F31" s="3" t="b">
        <v>1</v>
      </c>
      <c r="G31" t="s">
        <v>254</v>
      </c>
      <c r="H31">
        <v>3</v>
      </c>
    </row>
    <row r="33" spans="3:14" x14ac:dyDescent="0.75">
      <c r="N33" s="5"/>
    </row>
    <row r="34" spans="3:14" x14ac:dyDescent="0.75">
      <c r="C34">
        <f>COUNTIF(C3:C31, TRUE)</f>
        <v>8</v>
      </c>
      <c r="D34">
        <f t="shared" ref="D34:F34" si="0">COUNTIF(D3:D31, TRUE)</f>
        <v>0</v>
      </c>
      <c r="E34">
        <f t="shared" si="0"/>
        <v>7</v>
      </c>
      <c r="F34">
        <f t="shared" si="0"/>
        <v>9</v>
      </c>
      <c r="G34">
        <f>SUM(C34:F34)</f>
        <v>24</v>
      </c>
    </row>
  </sheetData>
  <mergeCells count="2">
    <mergeCell ref="N3:T26"/>
    <mergeCell ref="O29:T29"/>
  </mergeCells>
  <conditionalFormatting sqref="H3:H31">
    <cfRule type="cellIs" dxfId="4" priority="1" operator="lessThan">
      <formula>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52FD60-6001-4F6A-B8D9-B917DF8BE266}">
  <dimension ref="A1:S35"/>
  <sheetViews>
    <sheetView topLeftCell="F23" workbookViewId="0">
      <selection activeCell="A2" sqref="A2:A3"/>
    </sheetView>
  </sheetViews>
  <sheetFormatPr defaultRowHeight="14.75" x14ac:dyDescent="0.75"/>
  <cols>
    <col min="2" max="2" width="83.31640625" customWidth="1"/>
    <col min="7" max="7" width="47.86328125" style="6" customWidth="1"/>
  </cols>
  <sheetData>
    <row r="1" spans="1:19" x14ac:dyDescent="0.75">
      <c r="A1" s="12"/>
      <c r="B1" s="12" t="s">
        <v>4</v>
      </c>
      <c r="C1" s="12"/>
      <c r="D1" s="12"/>
      <c r="E1" s="12"/>
      <c r="F1" s="12"/>
      <c r="G1" s="13"/>
      <c r="H1" s="12"/>
    </row>
    <row r="2" spans="1:19" x14ac:dyDescent="0.75">
      <c r="A2" s="12" t="s">
        <v>263</v>
      </c>
      <c r="B2" s="12" t="s">
        <v>183</v>
      </c>
      <c r="C2" s="12"/>
      <c r="D2" s="12"/>
      <c r="E2" s="12"/>
      <c r="F2" s="12"/>
      <c r="G2" s="13" t="s">
        <v>203</v>
      </c>
      <c r="H2" s="12" t="s">
        <v>204</v>
      </c>
    </row>
    <row r="3" spans="1:19" x14ac:dyDescent="0.75">
      <c r="A3" s="12" t="s">
        <v>264</v>
      </c>
      <c r="B3" s="17"/>
      <c r="C3" s="12" t="s">
        <v>262</v>
      </c>
      <c r="D3" s="12" t="s">
        <v>200</v>
      </c>
      <c r="E3" s="12" t="s">
        <v>201</v>
      </c>
      <c r="F3" s="12" t="s">
        <v>202</v>
      </c>
      <c r="G3" s="13"/>
      <c r="H3" s="12"/>
      <c r="M3" s="14" t="s">
        <v>12</v>
      </c>
      <c r="N3" s="14"/>
      <c r="O3" s="14"/>
      <c r="P3" s="14"/>
      <c r="Q3" s="14"/>
      <c r="R3" s="14"/>
      <c r="S3" s="14"/>
    </row>
    <row r="4" spans="1:19" x14ac:dyDescent="0.75">
      <c r="B4" s="1" t="s">
        <v>27</v>
      </c>
      <c r="C4" s="3" t="b">
        <v>0</v>
      </c>
      <c r="D4" s="3" t="b">
        <v>1</v>
      </c>
      <c r="E4" s="3" t="b">
        <v>0</v>
      </c>
      <c r="F4" s="3" t="b">
        <v>0</v>
      </c>
      <c r="H4">
        <v>3</v>
      </c>
      <c r="M4" s="14"/>
      <c r="N4" s="14"/>
      <c r="O4" s="14"/>
      <c r="P4" s="14"/>
      <c r="Q4" s="14"/>
      <c r="R4" s="14"/>
      <c r="S4" s="14"/>
    </row>
    <row r="5" spans="1:19" ht="29.5" x14ac:dyDescent="0.75">
      <c r="B5" s="1" t="s">
        <v>50</v>
      </c>
      <c r="C5" s="3" t="b">
        <v>0</v>
      </c>
      <c r="D5" s="3" t="b">
        <v>1</v>
      </c>
      <c r="E5" s="3" t="b">
        <v>0</v>
      </c>
      <c r="F5" s="3" t="b">
        <v>0</v>
      </c>
      <c r="G5" s="6" t="s">
        <v>219</v>
      </c>
      <c r="H5">
        <v>3</v>
      </c>
      <c r="M5" s="14"/>
      <c r="N5" s="14"/>
      <c r="O5" s="14"/>
      <c r="P5" s="14"/>
      <c r="Q5" s="14"/>
      <c r="R5" s="14"/>
      <c r="S5" s="14"/>
    </row>
    <row r="6" spans="1:19" x14ac:dyDescent="0.75">
      <c r="B6" s="1" t="s">
        <v>51</v>
      </c>
      <c r="C6" s="3" t="b">
        <v>1</v>
      </c>
      <c r="D6" s="3" t="b">
        <v>0</v>
      </c>
      <c r="E6" s="3" t="b">
        <v>0</v>
      </c>
      <c r="F6" s="3" t="b">
        <v>0</v>
      </c>
      <c r="G6" s="6" t="s">
        <v>209</v>
      </c>
      <c r="H6">
        <v>3</v>
      </c>
      <c r="M6" s="14"/>
      <c r="N6" s="14"/>
      <c r="O6" s="14"/>
      <c r="P6" s="14"/>
      <c r="Q6" s="14"/>
      <c r="R6" s="14"/>
      <c r="S6" s="14"/>
    </row>
    <row r="7" spans="1:19" x14ac:dyDescent="0.75">
      <c r="B7" s="1" t="s">
        <v>52</v>
      </c>
      <c r="C7" s="3" t="b">
        <v>0</v>
      </c>
      <c r="D7" s="3" t="b">
        <v>0</v>
      </c>
      <c r="E7" s="3" t="b">
        <v>1</v>
      </c>
      <c r="F7" s="3" t="b">
        <v>0</v>
      </c>
      <c r="G7" s="6" t="s">
        <v>220</v>
      </c>
      <c r="H7">
        <v>3</v>
      </c>
      <c r="M7" s="14"/>
      <c r="N7" s="14"/>
      <c r="O7" s="14"/>
      <c r="P7" s="14"/>
      <c r="Q7" s="14"/>
      <c r="R7" s="14"/>
      <c r="S7" s="14"/>
    </row>
    <row r="8" spans="1:19" ht="29.5" x14ac:dyDescent="0.75">
      <c r="B8" s="1" t="s">
        <v>58</v>
      </c>
      <c r="C8" s="3" t="b">
        <v>0</v>
      </c>
      <c r="D8" s="3" t="b">
        <v>0</v>
      </c>
      <c r="E8" s="3" t="b">
        <v>1</v>
      </c>
      <c r="F8" s="3" t="b">
        <v>0</v>
      </c>
      <c r="G8" s="6" t="s">
        <v>220</v>
      </c>
      <c r="H8">
        <v>3</v>
      </c>
      <c r="M8" s="14"/>
      <c r="N8" s="14"/>
      <c r="O8" s="14"/>
      <c r="P8" s="14"/>
      <c r="Q8" s="14"/>
      <c r="R8" s="14"/>
      <c r="S8" s="14"/>
    </row>
    <row r="9" spans="1:19" x14ac:dyDescent="0.75">
      <c r="B9" s="1" t="s">
        <v>70</v>
      </c>
      <c r="C9" s="3" t="b">
        <v>1</v>
      </c>
      <c r="D9" s="3" t="b">
        <v>0</v>
      </c>
      <c r="E9" s="3" t="b">
        <v>0</v>
      </c>
      <c r="F9" s="3" t="b">
        <v>0</v>
      </c>
      <c r="G9" s="6" t="s">
        <v>209</v>
      </c>
      <c r="H9">
        <v>3</v>
      </c>
      <c r="M9" s="14"/>
      <c r="N9" s="14"/>
      <c r="O9" s="14"/>
      <c r="P9" s="14"/>
      <c r="Q9" s="14"/>
      <c r="R9" s="14"/>
      <c r="S9" s="14"/>
    </row>
    <row r="10" spans="1:19" ht="29.5" x14ac:dyDescent="0.75">
      <c r="B10" s="1" t="s">
        <v>80</v>
      </c>
      <c r="C10" s="3" t="b">
        <v>0</v>
      </c>
      <c r="D10" s="3" t="b">
        <v>1</v>
      </c>
      <c r="E10" s="3" t="b">
        <v>0</v>
      </c>
      <c r="F10" s="3" t="b">
        <v>0</v>
      </c>
      <c r="G10" s="6" t="s">
        <v>221</v>
      </c>
      <c r="H10">
        <v>3</v>
      </c>
      <c r="M10" s="14"/>
      <c r="N10" s="14"/>
      <c r="O10" s="14"/>
      <c r="P10" s="14"/>
      <c r="Q10" s="14"/>
      <c r="R10" s="14"/>
      <c r="S10" s="14"/>
    </row>
    <row r="11" spans="1:19" x14ac:dyDescent="0.75">
      <c r="B11" s="1" t="s">
        <v>85</v>
      </c>
      <c r="C11" s="3" t="b">
        <v>0</v>
      </c>
      <c r="D11" s="3" t="b">
        <v>0</v>
      </c>
      <c r="E11" s="3" t="b">
        <v>0</v>
      </c>
      <c r="F11" s="3" t="b">
        <v>1</v>
      </c>
      <c r="G11" s="6" t="s">
        <v>222</v>
      </c>
      <c r="H11">
        <v>3</v>
      </c>
      <c r="M11" s="14"/>
      <c r="N11" s="14"/>
      <c r="O11" s="14"/>
      <c r="P11" s="14"/>
      <c r="Q11" s="14"/>
      <c r="R11" s="14"/>
      <c r="S11" s="14"/>
    </row>
    <row r="12" spans="1:19" x14ac:dyDescent="0.75">
      <c r="B12" s="1" t="s">
        <v>86</v>
      </c>
      <c r="C12" s="3" t="b">
        <v>0</v>
      </c>
      <c r="D12" s="3" t="b">
        <v>0</v>
      </c>
      <c r="E12" s="3" t="b">
        <v>1</v>
      </c>
      <c r="F12" s="3" t="b">
        <v>0</v>
      </c>
      <c r="G12" s="6" t="s">
        <v>223</v>
      </c>
      <c r="H12">
        <v>3</v>
      </c>
      <c r="M12" s="14"/>
      <c r="N12" s="14"/>
      <c r="O12" s="14"/>
      <c r="P12" s="14"/>
      <c r="Q12" s="14"/>
      <c r="R12" s="14"/>
      <c r="S12" s="14"/>
    </row>
    <row r="13" spans="1:19" x14ac:dyDescent="0.75">
      <c r="B13" s="1" t="s">
        <v>101</v>
      </c>
      <c r="C13" s="3" t="b">
        <v>0</v>
      </c>
      <c r="D13" s="3" t="b">
        <v>1</v>
      </c>
      <c r="E13" s="3" t="b">
        <v>0</v>
      </c>
      <c r="F13" s="3" t="b">
        <v>0</v>
      </c>
      <c r="G13" s="6" t="s">
        <v>224</v>
      </c>
      <c r="H13">
        <v>3</v>
      </c>
      <c r="M13" s="14"/>
      <c r="N13" s="14"/>
      <c r="O13" s="14"/>
      <c r="P13" s="14"/>
      <c r="Q13" s="14"/>
      <c r="R13" s="14"/>
      <c r="S13" s="14"/>
    </row>
    <row r="14" spans="1:19" x14ac:dyDescent="0.75">
      <c r="B14" s="1" t="s">
        <v>104</v>
      </c>
      <c r="C14" s="3" t="b">
        <v>0</v>
      </c>
      <c r="D14" s="3" t="b">
        <v>1</v>
      </c>
      <c r="E14" s="3" t="b">
        <v>0</v>
      </c>
      <c r="F14" s="3" t="b">
        <v>0</v>
      </c>
      <c r="G14" s="6" t="s">
        <v>225</v>
      </c>
      <c r="H14">
        <v>2</v>
      </c>
      <c r="M14" s="14"/>
      <c r="N14" s="14"/>
      <c r="O14" s="14"/>
      <c r="P14" s="14"/>
      <c r="Q14" s="14"/>
      <c r="R14" s="14"/>
      <c r="S14" s="14"/>
    </row>
    <row r="15" spans="1:19" x14ac:dyDescent="0.75">
      <c r="B15" s="1" t="s">
        <v>106</v>
      </c>
      <c r="C15" s="3" t="b">
        <v>0</v>
      </c>
      <c r="D15" s="3" t="b">
        <v>0</v>
      </c>
      <c r="E15" s="3" t="b">
        <v>1</v>
      </c>
      <c r="F15" s="3" t="b">
        <v>0</v>
      </c>
      <c r="G15" s="6" t="s">
        <v>226</v>
      </c>
      <c r="H15">
        <v>2</v>
      </c>
      <c r="M15" s="14"/>
      <c r="N15" s="14"/>
      <c r="O15" s="14"/>
      <c r="P15" s="14"/>
      <c r="Q15" s="14"/>
      <c r="R15" s="14"/>
      <c r="S15" s="14"/>
    </row>
    <row r="16" spans="1:19" x14ac:dyDescent="0.75">
      <c r="B16" s="1" t="s">
        <v>116</v>
      </c>
      <c r="C16" s="3" t="b">
        <v>0</v>
      </c>
      <c r="D16" s="3" t="b">
        <v>0</v>
      </c>
      <c r="E16" s="3" t="b">
        <v>1</v>
      </c>
      <c r="F16" s="3" t="b">
        <v>0</v>
      </c>
      <c r="G16" s="6" t="s">
        <v>222</v>
      </c>
      <c r="H16">
        <v>3</v>
      </c>
      <c r="M16" s="14"/>
      <c r="N16" s="14"/>
      <c r="O16" s="14"/>
      <c r="P16" s="14"/>
      <c r="Q16" s="14"/>
      <c r="R16" s="14"/>
      <c r="S16" s="14"/>
    </row>
    <row r="17" spans="1:19" ht="44.25" x14ac:dyDescent="0.75">
      <c r="B17" s="1" t="s">
        <v>126</v>
      </c>
      <c r="C17" s="3" t="b">
        <v>0</v>
      </c>
      <c r="D17" s="3" t="b">
        <v>0</v>
      </c>
      <c r="E17" s="3" t="b">
        <v>0</v>
      </c>
      <c r="F17" s="3" t="b">
        <v>1</v>
      </c>
      <c r="G17" s="6" t="s">
        <v>227</v>
      </c>
      <c r="H17">
        <v>2</v>
      </c>
      <c r="M17" s="14"/>
      <c r="N17" s="14"/>
      <c r="O17" s="14"/>
      <c r="P17" s="14"/>
      <c r="Q17" s="14"/>
      <c r="R17" s="14"/>
      <c r="S17" s="14"/>
    </row>
    <row r="18" spans="1:19" x14ac:dyDescent="0.75">
      <c r="B18" s="1" t="s">
        <v>128</v>
      </c>
      <c r="C18" s="3" t="b">
        <v>0</v>
      </c>
      <c r="D18" s="3" t="b">
        <v>0</v>
      </c>
      <c r="E18" s="3" t="b">
        <v>1</v>
      </c>
      <c r="F18" s="3" t="b">
        <v>0</v>
      </c>
      <c r="G18" s="6" t="s">
        <v>228</v>
      </c>
      <c r="H18">
        <v>2</v>
      </c>
      <c r="M18" s="14"/>
      <c r="N18" s="14"/>
      <c r="O18" s="14"/>
      <c r="P18" s="14"/>
      <c r="Q18" s="14"/>
      <c r="R18" s="14"/>
      <c r="S18" s="14"/>
    </row>
    <row r="19" spans="1:19" x14ac:dyDescent="0.75">
      <c r="B19" s="1" t="s">
        <v>143</v>
      </c>
      <c r="C19" s="3" t="b">
        <v>0</v>
      </c>
      <c r="D19" s="3" t="b">
        <v>0</v>
      </c>
      <c r="E19" s="3" t="b">
        <v>1</v>
      </c>
      <c r="F19" s="3" t="b">
        <v>0</v>
      </c>
      <c r="G19" s="6" t="s">
        <v>229</v>
      </c>
      <c r="H19">
        <v>3</v>
      </c>
      <c r="M19" s="14"/>
      <c r="N19" s="14"/>
      <c r="O19" s="14"/>
      <c r="P19" s="14"/>
      <c r="Q19" s="14"/>
      <c r="R19" s="14"/>
      <c r="S19" s="14"/>
    </row>
    <row r="20" spans="1:19" x14ac:dyDescent="0.75">
      <c r="B20" s="1" t="s">
        <v>145</v>
      </c>
      <c r="C20" s="3" t="b">
        <v>0</v>
      </c>
      <c r="D20" s="3" t="b">
        <v>1</v>
      </c>
      <c r="E20" s="3" t="b">
        <v>0</v>
      </c>
      <c r="F20" s="3" t="b">
        <v>0</v>
      </c>
      <c r="G20" s="6" t="s">
        <v>230</v>
      </c>
      <c r="H20">
        <v>3</v>
      </c>
      <c r="M20" s="14"/>
      <c r="N20" s="14"/>
      <c r="O20" s="14"/>
      <c r="P20" s="14"/>
      <c r="Q20" s="14"/>
      <c r="R20" s="14"/>
      <c r="S20" s="14"/>
    </row>
    <row r="21" spans="1:19" ht="29.5" x14ac:dyDescent="0.75">
      <c r="B21" s="1" t="s">
        <v>146</v>
      </c>
      <c r="C21" s="3" t="b">
        <v>0</v>
      </c>
      <c r="D21" s="3" t="b">
        <v>0</v>
      </c>
      <c r="E21" s="3" t="b">
        <v>0</v>
      </c>
      <c r="F21" s="3" t="b">
        <v>1</v>
      </c>
      <c r="G21" s="6" t="s">
        <v>231</v>
      </c>
      <c r="H21">
        <v>3</v>
      </c>
      <c r="M21" s="14"/>
      <c r="N21" s="14"/>
      <c r="O21" s="14"/>
      <c r="P21" s="14"/>
      <c r="Q21" s="14"/>
      <c r="R21" s="14"/>
      <c r="S21" s="14"/>
    </row>
    <row r="22" spans="1:19" ht="44.25" x14ac:dyDescent="0.75">
      <c r="B22" s="1" t="s">
        <v>150</v>
      </c>
      <c r="C22" s="3" t="b">
        <v>0</v>
      </c>
      <c r="D22" s="3" t="b">
        <v>0</v>
      </c>
      <c r="E22" s="3" t="b">
        <v>0</v>
      </c>
      <c r="F22" s="3" t="b">
        <v>1</v>
      </c>
      <c r="G22" s="6" t="s">
        <v>232</v>
      </c>
      <c r="H22">
        <v>3</v>
      </c>
      <c r="M22" s="14"/>
      <c r="N22" s="14"/>
      <c r="O22" s="14"/>
      <c r="P22" s="14"/>
      <c r="Q22" s="14"/>
      <c r="R22" s="14"/>
      <c r="S22" s="14"/>
    </row>
    <row r="23" spans="1:19" ht="29.5" x14ac:dyDescent="0.75">
      <c r="B23" s="1" t="s">
        <v>155</v>
      </c>
      <c r="C23" s="3" t="b">
        <v>1</v>
      </c>
      <c r="D23" s="3" t="b">
        <v>0</v>
      </c>
      <c r="E23" s="3" t="b">
        <v>0</v>
      </c>
      <c r="F23" s="3" t="b">
        <v>0</v>
      </c>
      <c r="G23" s="6" t="s">
        <v>209</v>
      </c>
      <c r="H23">
        <v>3</v>
      </c>
      <c r="M23" s="14"/>
      <c r="N23" s="14"/>
      <c r="O23" s="14"/>
      <c r="P23" s="14"/>
      <c r="Q23" s="14"/>
      <c r="R23" s="14"/>
      <c r="S23" s="14"/>
    </row>
    <row r="24" spans="1:19" x14ac:dyDescent="0.75">
      <c r="A24" t="s">
        <v>265</v>
      </c>
      <c r="B24" s="10" t="s">
        <v>156</v>
      </c>
      <c r="C24" s="3" t="b">
        <v>0</v>
      </c>
      <c r="D24" s="3" t="b">
        <v>0</v>
      </c>
      <c r="E24" s="11" t="s">
        <v>201</v>
      </c>
      <c r="F24" s="3" t="b">
        <v>0</v>
      </c>
      <c r="G24" s="6" t="s">
        <v>226</v>
      </c>
      <c r="H24">
        <v>3</v>
      </c>
      <c r="M24" s="14"/>
      <c r="N24" s="14"/>
      <c r="O24" s="14"/>
      <c r="P24" s="14"/>
      <c r="Q24" s="14"/>
      <c r="R24" s="14"/>
      <c r="S24" s="14"/>
    </row>
    <row r="25" spans="1:19" x14ac:dyDescent="0.75">
      <c r="B25" s="1" t="s">
        <v>163</v>
      </c>
      <c r="C25" s="3" t="b">
        <v>1</v>
      </c>
      <c r="D25" s="3" t="b">
        <v>0</v>
      </c>
      <c r="E25" s="3" t="b">
        <v>0</v>
      </c>
      <c r="F25" s="3" t="b">
        <v>0</v>
      </c>
      <c r="G25" s="6" t="s">
        <v>209</v>
      </c>
      <c r="H25">
        <v>3</v>
      </c>
      <c r="M25" s="14"/>
      <c r="N25" s="14"/>
      <c r="O25" s="14"/>
      <c r="P25" s="14"/>
      <c r="Q25" s="14"/>
      <c r="R25" s="14"/>
      <c r="S25" s="14"/>
    </row>
    <row r="26" spans="1:19" x14ac:dyDescent="0.75">
      <c r="B26" s="1" t="s">
        <v>164</v>
      </c>
      <c r="C26" s="3" t="b">
        <v>0</v>
      </c>
      <c r="D26" s="3" t="b">
        <v>1</v>
      </c>
      <c r="E26" s="3" t="b">
        <v>0</v>
      </c>
      <c r="F26" s="3" t="b">
        <v>0</v>
      </c>
      <c r="G26" s="6" t="s">
        <v>233</v>
      </c>
      <c r="H26">
        <v>3</v>
      </c>
      <c r="M26" s="14"/>
      <c r="N26" s="14"/>
      <c r="O26" s="14"/>
      <c r="P26" s="14"/>
      <c r="Q26" s="14"/>
      <c r="R26" s="14"/>
      <c r="S26" s="14"/>
    </row>
    <row r="27" spans="1:19" x14ac:dyDescent="0.75">
      <c r="B27" s="1" t="s">
        <v>174</v>
      </c>
      <c r="C27" s="3" t="b">
        <v>0</v>
      </c>
      <c r="D27" s="3" t="b">
        <v>0</v>
      </c>
      <c r="E27" s="3" t="b">
        <v>0</v>
      </c>
      <c r="F27" s="3" t="b">
        <v>1</v>
      </c>
      <c r="G27" s="6" t="s">
        <v>222</v>
      </c>
      <c r="H27">
        <v>3</v>
      </c>
    </row>
    <row r="28" spans="1:19" x14ac:dyDescent="0.75">
      <c r="B28" s="1" t="s">
        <v>175</v>
      </c>
      <c r="C28" s="3" t="b">
        <v>0</v>
      </c>
      <c r="D28" s="3" t="b">
        <v>0</v>
      </c>
      <c r="E28" s="3" t="b">
        <v>1</v>
      </c>
      <c r="F28" s="3" t="b">
        <v>0</v>
      </c>
      <c r="G28" s="6" t="s">
        <v>234</v>
      </c>
      <c r="H28">
        <v>3</v>
      </c>
    </row>
    <row r="29" spans="1:19" x14ac:dyDescent="0.75">
      <c r="H29">
        <v>3</v>
      </c>
      <c r="M29" t="s">
        <v>198</v>
      </c>
      <c r="N29" s="15" t="s">
        <v>218</v>
      </c>
      <c r="O29" s="15"/>
      <c r="P29" s="15"/>
      <c r="Q29" s="15"/>
      <c r="R29" s="15"/>
      <c r="S29" s="15"/>
    </row>
    <row r="30" spans="1:19" x14ac:dyDescent="0.75">
      <c r="H30">
        <v>3</v>
      </c>
    </row>
    <row r="31" spans="1:19" x14ac:dyDescent="0.75">
      <c r="H31">
        <v>3</v>
      </c>
    </row>
    <row r="32" spans="1:19" x14ac:dyDescent="0.75">
      <c r="H32">
        <v>3</v>
      </c>
    </row>
    <row r="33" spans="3:13" x14ac:dyDescent="0.75">
      <c r="M33" s="5"/>
    </row>
    <row r="35" spans="3:13" x14ac:dyDescent="0.75">
      <c r="C35">
        <f>COUNTIF(C4:C32, TRUE)</f>
        <v>4</v>
      </c>
      <c r="D35">
        <f t="shared" ref="D35:F35" si="0">COUNTIF(D4:D32, TRUE)</f>
        <v>7</v>
      </c>
      <c r="E35">
        <f t="shared" si="0"/>
        <v>8</v>
      </c>
      <c r="F35">
        <f t="shared" si="0"/>
        <v>5</v>
      </c>
    </row>
  </sheetData>
  <mergeCells count="2">
    <mergeCell ref="M3:S26"/>
    <mergeCell ref="N29:S29"/>
  </mergeCells>
  <conditionalFormatting sqref="H4:H32">
    <cfRule type="cellIs" dxfId="3" priority="1" operator="lessThan">
      <formula>2</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A1BE39-E937-465A-A4D6-F216B26455BC}">
  <dimension ref="A1:Q35"/>
  <sheetViews>
    <sheetView workbookViewId="0">
      <selection sqref="A1:A2"/>
    </sheetView>
  </sheetViews>
  <sheetFormatPr defaultRowHeight="14.75" x14ac:dyDescent="0.75"/>
  <cols>
    <col min="2" max="2" width="71.1796875" customWidth="1"/>
    <col min="7" max="7" width="41.1328125" customWidth="1"/>
  </cols>
  <sheetData>
    <row r="1" spans="1:17" x14ac:dyDescent="0.75">
      <c r="A1" s="12" t="s">
        <v>263</v>
      </c>
      <c r="B1" s="12" t="s">
        <v>5</v>
      </c>
      <c r="C1" s="12"/>
      <c r="D1" s="12"/>
      <c r="E1" s="12"/>
      <c r="F1" s="12"/>
      <c r="G1" s="13" t="s">
        <v>203</v>
      </c>
      <c r="H1" s="12" t="s">
        <v>204</v>
      </c>
    </row>
    <row r="2" spans="1:17" x14ac:dyDescent="0.75">
      <c r="A2" s="12" t="s">
        <v>264</v>
      </c>
      <c r="B2" s="12" t="s">
        <v>130</v>
      </c>
      <c r="C2" s="12" t="s">
        <v>262</v>
      </c>
      <c r="D2" s="12" t="s">
        <v>200</v>
      </c>
      <c r="E2" s="12" t="s">
        <v>201</v>
      </c>
      <c r="F2" s="12" t="s">
        <v>202</v>
      </c>
      <c r="G2" s="13"/>
      <c r="H2" s="12"/>
    </row>
    <row r="3" spans="1:17" x14ac:dyDescent="0.75">
      <c r="B3" s="1" t="s">
        <v>33</v>
      </c>
      <c r="C3" s="3" t="b">
        <v>0</v>
      </c>
      <c r="D3" s="3" t="b">
        <v>0</v>
      </c>
      <c r="E3" s="3" t="b">
        <v>1</v>
      </c>
      <c r="F3" s="3" t="b">
        <v>0</v>
      </c>
      <c r="G3" s="6" t="s">
        <v>236</v>
      </c>
      <c r="H3">
        <v>2</v>
      </c>
      <c r="K3" s="14" t="s">
        <v>13</v>
      </c>
      <c r="L3" s="14"/>
      <c r="M3" s="14"/>
      <c r="N3" s="14"/>
      <c r="O3" s="14"/>
      <c r="P3" s="14"/>
      <c r="Q3" s="14"/>
    </row>
    <row r="4" spans="1:17" x14ac:dyDescent="0.75">
      <c r="B4" s="1" t="s">
        <v>43</v>
      </c>
      <c r="C4" s="3" t="b">
        <v>1</v>
      </c>
      <c r="D4" s="3" t="b">
        <v>0</v>
      </c>
      <c r="E4" s="3" t="b">
        <v>0</v>
      </c>
      <c r="F4" s="3" t="b">
        <v>0</v>
      </c>
      <c r="G4" s="6" t="s">
        <v>209</v>
      </c>
      <c r="H4">
        <v>3</v>
      </c>
      <c r="K4" s="14"/>
      <c r="L4" s="14"/>
      <c r="M4" s="14"/>
      <c r="N4" s="14"/>
      <c r="O4" s="14"/>
      <c r="P4" s="14"/>
      <c r="Q4" s="14"/>
    </row>
    <row r="5" spans="1:17" ht="29.5" x14ac:dyDescent="0.75">
      <c r="B5" s="1" t="s">
        <v>45</v>
      </c>
      <c r="C5" s="3" t="b">
        <v>1</v>
      </c>
      <c r="D5" s="3" t="b">
        <v>0</v>
      </c>
      <c r="E5" s="3" t="b">
        <v>0</v>
      </c>
      <c r="F5" s="3" t="b">
        <v>0</v>
      </c>
      <c r="G5" s="6" t="s">
        <v>209</v>
      </c>
      <c r="H5">
        <v>3</v>
      </c>
      <c r="K5" s="14"/>
      <c r="L5" s="14"/>
      <c r="M5" s="14"/>
      <c r="N5" s="14"/>
      <c r="O5" s="14"/>
      <c r="P5" s="14"/>
      <c r="Q5" s="14"/>
    </row>
    <row r="6" spans="1:17" ht="29.5" x14ac:dyDescent="0.75">
      <c r="B6" s="1" t="s">
        <v>59</v>
      </c>
      <c r="C6" s="3" t="b">
        <v>1</v>
      </c>
      <c r="D6" s="3" t="b">
        <v>0</v>
      </c>
      <c r="E6" s="3" t="b">
        <v>0</v>
      </c>
      <c r="F6" s="3" t="b">
        <v>0</v>
      </c>
      <c r="G6" s="6" t="s">
        <v>209</v>
      </c>
      <c r="H6">
        <v>3</v>
      </c>
      <c r="K6" s="14"/>
      <c r="L6" s="14"/>
      <c r="M6" s="14"/>
      <c r="N6" s="14"/>
      <c r="O6" s="14"/>
      <c r="P6" s="14"/>
      <c r="Q6" s="14"/>
    </row>
    <row r="7" spans="1:17" x14ac:dyDescent="0.75">
      <c r="B7" s="1" t="s">
        <v>60</v>
      </c>
      <c r="C7" s="3" t="b">
        <v>0</v>
      </c>
      <c r="D7" s="3" t="b">
        <v>0</v>
      </c>
      <c r="E7" s="3" t="b">
        <v>1</v>
      </c>
      <c r="F7" s="3" t="b">
        <v>0</v>
      </c>
      <c r="G7" s="6" t="s">
        <v>237</v>
      </c>
      <c r="H7">
        <v>3</v>
      </c>
      <c r="K7" s="14"/>
      <c r="L7" s="14"/>
      <c r="M7" s="14"/>
      <c r="N7" s="14"/>
      <c r="O7" s="14"/>
      <c r="P7" s="14"/>
      <c r="Q7" s="14"/>
    </row>
    <row r="8" spans="1:17" x14ac:dyDescent="0.75">
      <c r="B8" s="1" t="s">
        <v>71</v>
      </c>
      <c r="C8" s="3" t="b">
        <v>1</v>
      </c>
      <c r="D8" s="3" t="b">
        <v>0</v>
      </c>
      <c r="E8" s="3" t="b">
        <v>0</v>
      </c>
      <c r="F8" s="3" t="b">
        <v>0</v>
      </c>
      <c r="G8" s="6" t="s">
        <v>209</v>
      </c>
      <c r="H8">
        <v>3</v>
      </c>
      <c r="K8" s="14"/>
      <c r="L8" s="14"/>
      <c r="M8" s="14"/>
      <c r="N8" s="14"/>
      <c r="O8" s="14"/>
      <c r="P8" s="14"/>
      <c r="Q8" s="14"/>
    </row>
    <row r="9" spans="1:17" x14ac:dyDescent="0.75">
      <c r="B9" s="1" t="s">
        <v>72</v>
      </c>
      <c r="C9" s="3" t="b">
        <v>1</v>
      </c>
      <c r="D9" s="3" t="b">
        <v>0</v>
      </c>
      <c r="E9" s="3" t="b">
        <v>0</v>
      </c>
      <c r="F9" s="3" t="b">
        <v>0</v>
      </c>
      <c r="G9" s="6" t="s">
        <v>209</v>
      </c>
      <c r="H9">
        <v>3</v>
      </c>
      <c r="K9" s="14"/>
      <c r="L9" s="14"/>
      <c r="M9" s="14"/>
      <c r="N9" s="14"/>
      <c r="O9" s="14"/>
      <c r="P9" s="14"/>
      <c r="Q9" s="14"/>
    </row>
    <row r="10" spans="1:17" ht="29.5" x14ac:dyDescent="0.75">
      <c r="A10" t="s">
        <v>265</v>
      </c>
      <c r="B10" s="10" t="s">
        <v>88</v>
      </c>
      <c r="C10" s="3" t="b">
        <v>0</v>
      </c>
      <c r="D10" s="3" t="b">
        <v>0</v>
      </c>
      <c r="E10" s="3" t="b">
        <v>0</v>
      </c>
      <c r="F10" s="11" t="s">
        <v>202</v>
      </c>
      <c r="G10" s="6"/>
      <c r="H10">
        <v>2</v>
      </c>
      <c r="K10" s="14"/>
      <c r="L10" s="14"/>
      <c r="M10" s="14"/>
      <c r="N10" s="14"/>
      <c r="O10" s="14"/>
      <c r="P10" s="14"/>
      <c r="Q10" s="14"/>
    </row>
    <row r="11" spans="1:17" x14ac:dyDescent="0.75">
      <c r="B11" s="1" t="s">
        <v>93</v>
      </c>
      <c r="C11" s="3" t="b">
        <v>0</v>
      </c>
      <c r="D11" s="3" t="b">
        <v>0</v>
      </c>
      <c r="E11" s="3" t="b">
        <v>1</v>
      </c>
      <c r="F11" s="3" t="b">
        <v>0</v>
      </c>
      <c r="G11" s="6" t="s">
        <v>237</v>
      </c>
      <c r="H11">
        <v>3</v>
      </c>
      <c r="K11" s="14"/>
      <c r="L11" s="14"/>
      <c r="M11" s="14"/>
      <c r="N11" s="14"/>
      <c r="O11" s="14"/>
      <c r="P11" s="14"/>
      <c r="Q11" s="14"/>
    </row>
    <row r="12" spans="1:17" x14ac:dyDescent="0.75">
      <c r="B12" s="1" t="s">
        <v>94</v>
      </c>
      <c r="C12" s="3" t="b">
        <v>1</v>
      </c>
      <c r="D12" s="3" t="b">
        <v>0</v>
      </c>
      <c r="E12" s="3" t="b">
        <v>0</v>
      </c>
      <c r="F12" s="3" t="b">
        <v>0</v>
      </c>
      <c r="G12" s="6" t="s">
        <v>209</v>
      </c>
      <c r="H12">
        <v>3</v>
      </c>
      <c r="K12" s="14"/>
      <c r="L12" s="14"/>
      <c r="M12" s="14"/>
      <c r="N12" s="14"/>
      <c r="O12" s="14"/>
      <c r="P12" s="14"/>
      <c r="Q12" s="14"/>
    </row>
    <row r="13" spans="1:17" ht="29.5" x14ac:dyDescent="0.75">
      <c r="B13" s="1" t="s">
        <v>112</v>
      </c>
      <c r="C13" s="3" t="b">
        <v>1</v>
      </c>
      <c r="D13" s="3" t="b">
        <v>0</v>
      </c>
      <c r="E13" s="3" t="b">
        <v>0</v>
      </c>
      <c r="F13" s="3" t="b">
        <v>0</v>
      </c>
      <c r="G13" s="6" t="s">
        <v>209</v>
      </c>
      <c r="H13">
        <v>3</v>
      </c>
      <c r="K13" s="14"/>
      <c r="L13" s="14"/>
      <c r="M13" s="14"/>
      <c r="N13" s="14"/>
      <c r="O13" s="14"/>
      <c r="P13" s="14"/>
      <c r="Q13" s="14"/>
    </row>
    <row r="14" spans="1:17" ht="29.5" x14ac:dyDescent="0.75">
      <c r="B14" s="1" t="s">
        <v>114</v>
      </c>
      <c r="C14" s="3" t="b">
        <v>1</v>
      </c>
      <c r="D14" s="3" t="b">
        <v>0</v>
      </c>
      <c r="E14" s="3" t="b">
        <v>0</v>
      </c>
      <c r="F14" s="3" t="b">
        <v>0</v>
      </c>
      <c r="G14" s="6" t="s">
        <v>209</v>
      </c>
      <c r="H14">
        <v>3</v>
      </c>
      <c r="K14" s="14"/>
      <c r="L14" s="14"/>
      <c r="M14" s="14"/>
      <c r="N14" s="14"/>
      <c r="O14" s="14"/>
      <c r="P14" s="14"/>
      <c r="Q14" s="14"/>
    </row>
    <row r="15" spans="1:17" x14ac:dyDescent="0.75">
      <c r="B15" s="1" t="s">
        <v>118</v>
      </c>
      <c r="C15" s="3" t="b">
        <v>1</v>
      </c>
      <c r="D15" s="3" t="b">
        <v>0</v>
      </c>
      <c r="E15" s="3" t="b">
        <v>0</v>
      </c>
      <c r="F15" s="3" t="b">
        <v>0</v>
      </c>
      <c r="G15" s="6" t="s">
        <v>209</v>
      </c>
      <c r="H15">
        <v>3</v>
      </c>
      <c r="K15" s="14"/>
      <c r="L15" s="14"/>
      <c r="M15" s="14"/>
      <c r="N15" s="14"/>
      <c r="O15" s="14"/>
      <c r="P15" s="14"/>
      <c r="Q15" s="14"/>
    </row>
    <row r="16" spans="1:17" x14ac:dyDescent="0.75">
      <c r="B16" s="1" t="s">
        <v>130</v>
      </c>
      <c r="C16" s="3" t="b">
        <v>1</v>
      </c>
      <c r="D16" s="3" t="b">
        <v>0</v>
      </c>
      <c r="E16" s="3" t="b">
        <v>0</v>
      </c>
      <c r="F16" s="3" t="b">
        <v>0</v>
      </c>
      <c r="G16" s="6" t="s">
        <v>209</v>
      </c>
      <c r="H16">
        <v>3</v>
      </c>
      <c r="K16" s="14"/>
      <c r="L16" s="14"/>
      <c r="M16" s="14"/>
      <c r="N16" s="14"/>
      <c r="O16" s="14"/>
      <c r="P16" s="14"/>
      <c r="Q16" s="14"/>
    </row>
    <row r="17" spans="1:17" x14ac:dyDescent="0.75">
      <c r="B17" s="1" t="s">
        <v>131</v>
      </c>
      <c r="C17" s="3" t="b">
        <v>0</v>
      </c>
      <c r="D17" s="3" t="b">
        <v>1</v>
      </c>
      <c r="E17" s="3" t="b">
        <v>0</v>
      </c>
      <c r="F17" s="3" t="b">
        <v>0</v>
      </c>
      <c r="G17" s="6" t="s">
        <v>238</v>
      </c>
      <c r="H17">
        <v>3</v>
      </c>
      <c r="K17" s="14"/>
      <c r="L17" s="14"/>
      <c r="M17" s="14"/>
      <c r="N17" s="14"/>
      <c r="O17" s="14"/>
      <c r="P17" s="14"/>
      <c r="Q17" s="14"/>
    </row>
    <row r="18" spans="1:17" x14ac:dyDescent="0.75">
      <c r="B18" s="1" t="s">
        <v>135</v>
      </c>
      <c r="C18" s="3" t="b">
        <v>1</v>
      </c>
      <c r="D18" s="3" t="b">
        <v>0</v>
      </c>
      <c r="E18" s="3" t="b">
        <v>0</v>
      </c>
      <c r="F18" s="3" t="b">
        <v>0</v>
      </c>
      <c r="G18" s="6" t="s">
        <v>209</v>
      </c>
      <c r="H18">
        <v>3</v>
      </c>
      <c r="K18" s="14"/>
      <c r="L18" s="14"/>
      <c r="M18" s="14"/>
      <c r="N18" s="14"/>
      <c r="O18" s="14"/>
      <c r="P18" s="14"/>
      <c r="Q18" s="14"/>
    </row>
    <row r="19" spans="1:17" ht="29.5" x14ac:dyDescent="0.75">
      <c r="B19" s="1" t="s">
        <v>136</v>
      </c>
      <c r="C19" s="3" t="b">
        <v>1</v>
      </c>
      <c r="D19" s="3" t="b">
        <v>0</v>
      </c>
      <c r="E19" s="3" t="b">
        <v>0</v>
      </c>
      <c r="F19" s="3" t="b">
        <v>0</v>
      </c>
      <c r="G19" s="6" t="s">
        <v>209</v>
      </c>
      <c r="H19">
        <v>3</v>
      </c>
      <c r="K19" s="14"/>
      <c r="L19" s="14"/>
      <c r="M19" s="14"/>
      <c r="N19" s="14"/>
      <c r="O19" s="14"/>
      <c r="P19" s="14"/>
      <c r="Q19" s="14"/>
    </row>
    <row r="20" spans="1:17" ht="29.5" x14ac:dyDescent="0.75">
      <c r="A20" t="s">
        <v>265</v>
      </c>
      <c r="B20" s="10" t="s">
        <v>144</v>
      </c>
      <c r="C20" s="11" t="s">
        <v>197</v>
      </c>
      <c r="D20" s="3" t="b">
        <v>0</v>
      </c>
      <c r="E20" s="3" t="b">
        <v>0</v>
      </c>
      <c r="F20" s="3" t="b">
        <v>0</v>
      </c>
      <c r="G20" s="6" t="s">
        <v>209</v>
      </c>
      <c r="H20">
        <v>3</v>
      </c>
      <c r="K20" s="14"/>
      <c r="L20" s="14"/>
      <c r="M20" s="14"/>
      <c r="N20" s="14"/>
      <c r="O20" s="14"/>
      <c r="P20" s="14"/>
      <c r="Q20" s="14"/>
    </row>
    <row r="21" spans="1:17" x14ac:dyDescent="0.75">
      <c r="B21" s="1" t="s">
        <v>153</v>
      </c>
      <c r="C21" s="3" t="b">
        <v>0</v>
      </c>
      <c r="D21" s="3" t="b">
        <v>1</v>
      </c>
      <c r="E21" s="3" t="b">
        <v>0</v>
      </c>
      <c r="F21" s="3" t="b">
        <v>0</v>
      </c>
      <c r="G21" s="6" t="s">
        <v>238</v>
      </c>
      <c r="H21">
        <v>3</v>
      </c>
      <c r="K21" s="14"/>
      <c r="L21" s="14"/>
      <c r="M21" s="14"/>
      <c r="N21" s="14"/>
      <c r="O21" s="14"/>
      <c r="P21" s="14"/>
      <c r="Q21" s="14"/>
    </row>
    <row r="22" spans="1:17" x14ac:dyDescent="0.75">
      <c r="B22" s="1" t="s">
        <v>158</v>
      </c>
      <c r="C22" s="3" t="b">
        <v>1</v>
      </c>
      <c r="D22" s="3" t="b">
        <v>0</v>
      </c>
      <c r="E22" s="3" t="b">
        <v>0</v>
      </c>
      <c r="F22" s="3" t="b">
        <v>0</v>
      </c>
      <c r="G22" s="6" t="s">
        <v>209</v>
      </c>
      <c r="H22">
        <v>3</v>
      </c>
      <c r="K22" s="14"/>
      <c r="L22" s="14"/>
      <c r="M22" s="14"/>
      <c r="N22" s="14"/>
      <c r="O22" s="14"/>
      <c r="P22" s="14"/>
      <c r="Q22" s="14"/>
    </row>
    <row r="23" spans="1:17" x14ac:dyDescent="0.75">
      <c r="B23" s="1" t="s">
        <v>161</v>
      </c>
      <c r="C23" s="3" t="b">
        <v>1</v>
      </c>
      <c r="D23" s="3" t="b">
        <v>0</v>
      </c>
      <c r="E23" s="3" t="b">
        <v>0</v>
      </c>
      <c r="F23" s="3" t="b">
        <v>0</v>
      </c>
      <c r="G23" s="6" t="s">
        <v>209</v>
      </c>
      <c r="H23">
        <v>3</v>
      </c>
      <c r="K23" s="14"/>
      <c r="L23" s="14"/>
      <c r="M23" s="14"/>
      <c r="N23" s="14"/>
      <c r="O23" s="14"/>
      <c r="P23" s="14"/>
      <c r="Q23" s="14"/>
    </row>
    <row r="24" spans="1:17" x14ac:dyDescent="0.75">
      <c r="B24" s="1" t="s">
        <v>165</v>
      </c>
      <c r="C24" s="3" t="b">
        <v>1</v>
      </c>
      <c r="D24" s="3" t="b">
        <v>0</v>
      </c>
      <c r="E24" s="3" t="b">
        <v>0</v>
      </c>
      <c r="F24" s="3" t="b">
        <v>0</v>
      </c>
      <c r="G24" s="6" t="s">
        <v>209</v>
      </c>
      <c r="H24">
        <v>3</v>
      </c>
      <c r="K24" s="14"/>
      <c r="L24" s="14"/>
      <c r="M24" s="14"/>
      <c r="N24" s="14"/>
      <c r="O24" s="14"/>
      <c r="P24" s="14"/>
      <c r="Q24" s="14"/>
    </row>
    <row r="25" spans="1:17" x14ac:dyDescent="0.75">
      <c r="B25" s="1" t="s">
        <v>166</v>
      </c>
      <c r="C25" s="3" t="b">
        <v>0</v>
      </c>
      <c r="D25" s="3" t="b">
        <v>0</v>
      </c>
      <c r="E25" s="3" t="b">
        <v>0</v>
      </c>
      <c r="F25" s="3" t="b">
        <v>1</v>
      </c>
      <c r="G25" s="6" t="s">
        <v>239</v>
      </c>
      <c r="H25">
        <v>2</v>
      </c>
      <c r="K25" s="14"/>
      <c r="L25" s="14"/>
      <c r="M25" s="14"/>
      <c r="N25" s="14"/>
      <c r="O25" s="14"/>
      <c r="P25" s="14"/>
      <c r="Q25" s="14"/>
    </row>
    <row r="26" spans="1:17" ht="59" x14ac:dyDescent="0.75">
      <c r="B26" s="1" t="s">
        <v>167</v>
      </c>
      <c r="C26" s="3" t="b">
        <v>0</v>
      </c>
      <c r="D26" s="3" t="b">
        <v>0</v>
      </c>
      <c r="E26" s="3" t="b">
        <v>0</v>
      </c>
      <c r="F26" s="3" t="b">
        <v>1</v>
      </c>
      <c r="G26" s="6" t="s">
        <v>240</v>
      </c>
      <c r="H26">
        <v>3</v>
      </c>
      <c r="K26" s="14"/>
      <c r="L26" s="14"/>
      <c r="M26" s="14"/>
      <c r="N26" s="14"/>
      <c r="O26" s="14"/>
      <c r="P26" s="14"/>
      <c r="Q26" s="14"/>
    </row>
    <row r="27" spans="1:17" ht="44.25" x14ac:dyDescent="0.75">
      <c r="B27" s="1" t="s">
        <v>169</v>
      </c>
      <c r="C27" s="3" t="b">
        <v>1</v>
      </c>
      <c r="D27" s="3" t="b">
        <v>0</v>
      </c>
      <c r="E27" s="3" t="b">
        <v>0</v>
      </c>
      <c r="F27" s="3" t="b">
        <v>0</v>
      </c>
      <c r="G27" s="6" t="s">
        <v>209</v>
      </c>
      <c r="H27">
        <v>3</v>
      </c>
    </row>
    <row r="28" spans="1:17" x14ac:dyDescent="0.75">
      <c r="B28" s="1" t="s">
        <v>170</v>
      </c>
      <c r="C28" s="3" t="b">
        <v>1</v>
      </c>
      <c r="D28" s="3" t="b">
        <v>0</v>
      </c>
      <c r="E28" s="3" t="b">
        <v>0</v>
      </c>
      <c r="F28" s="3" t="b">
        <v>0</v>
      </c>
      <c r="G28" s="6" t="s">
        <v>209</v>
      </c>
      <c r="H28">
        <v>3</v>
      </c>
      <c r="K28" t="s">
        <v>198</v>
      </c>
      <c r="L28" s="7" t="s">
        <v>235</v>
      </c>
      <c r="M28" s="7"/>
      <c r="N28" s="7"/>
      <c r="O28" s="7"/>
      <c r="P28" s="7"/>
      <c r="Q28" s="7"/>
    </row>
    <row r="29" spans="1:17" x14ac:dyDescent="0.75">
      <c r="G29" s="6"/>
      <c r="H29" s="18"/>
    </row>
    <row r="30" spans="1:17" x14ac:dyDescent="0.75">
      <c r="G30" s="6"/>
      <c r="H30" s="18"/>
    </row>
    <row r="31" spans="1:17" x14ac:dyDescent="0.75">
      <c r="G31" s="6"/>
      <c r="H31" s="18"/>
    </row>
    <row r="32" spans="1:17" x14ac:dyDescent="0.75">
      <c r="G32" s="6"/>
      <c r="K32" s="5"/>
    </row>
    <row r="33" spans="3:7" x14ac:dyDescent="0.75">
      <c r="G33" s="6"/>
    </row>
    <row r="34" spans="3:7" x14ac:dyDescent="0.75">
      <c r="C34">
        <f>COUNTIF(C3:C31, TRUE)</f>
        <v>17</v>
      </c>
      <c r="D34">
        <f t="shared" ref="D34:F34" si="0">COUNTIF(D3:D31, TRUE)</f>
        <v>2</v>
      </c>
      <c r="E34">
        <f t="shared" si="0"/>
        <v>3</v>
      </c>
      <c r="F34">
        <f t="shared" si="0"/>
        <v>2</v>
      </c>
      <c r="G34" s="6">
        <f>SUM(C34:F34)</f>
        <v>24</v>
      </c>
    </row>
    <row r="35" spans="3:7" x14ac:dyDescent="0.75">
      <c r="G35" s="6"/>
    </row>
  </sheetData>
  <mergeCells count="1">
    <mergeCell ref="K3:Q26"/>
  </mergeCells>
  <phoneticPr fontId="2" type="noConversion"/>
  <conditionalFormatting sqref="H3:H28">
    <cfRule type="cellIs" dxfId="2" priority="1" operator="lessThan">
      <formula>2</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43EE3-7EB3-4657-A648-6A324398EF1B}">
  <dimension ref="A1:Q35"/>
  <sheetViews>
    <sheetView workbookViewId="0">
      <selection sqref="A1:A2"/>
    </sheetView>
  </sheetViews>
  <sheetFormatPr defaultRowHeight="14.75" x14ac:dyDescent="0.75"/>
  <cols>
    <col min="2" max="2" width="81.6796875" customWidth="1"/>
    <col min="7" max="7" width="48.453125" customWidth="1"/>
  </cols>
  <sheetData>
    <row r="1" spans="1:17" x14ac:dyDescent="0.75">
      <c r="A1" s="12" t="s">
        <v>263</v>
      </c>
      <c r="B1" s="12" t="s">
        <v>6</v>
      </c>
      <c r="C1" s="12"/>
      <c r="D1" s="12"/>
      <c r="E1" s="12"/>
      <c r="F1" s="12"/>
      <c r="G1" s="13" t="s">
        <v>203</v>
      </c>
      <c r="H1" s="12" t="s">
        <v>204</v>
      </c>
    </row>
    <row r="2" spans="1:17" x14ac:dyDescent="0.75">
      <c r="A2" s="12" t="s">
        <v>264</v>
      </c>
      <c r="B2" s="12" t="s">
        <v>184</v>
      </c>
      <c r="C2" s="12" t="s">
        <v>262</v>
      </c>
      <c r="D2" s="12" t="s">
        <v>200</v>
      </c>
      <c r="E2" s="12" t="s">
        <v>201</v>
      </c>
      <c r="F2" s="12" t="s">
        <v>202</v>
      </c>
      <c r="G2" s="13"/>
      <c r="H2" s="12"/>
    </row>
    <row r="3" spans="1:17" ht="29.5" x14ac:dyDescent="0.75">
      <c r="B3" s="1" t="s">
        <v>30</v>
      </c>
      <c r="C3" s="3" t="b">
        <v>0</v>
      </c>
      <c r="D3" s="3" t="b">
        <v>1</v>
      </c>
      <c r="E3" s="3" t="b">
        <v>0</v>
      </c>
      <c r="F3" s="3" t="b">
        <v>0</v>
      </c>
      <c r="G3" t="s">
        <v>260</v>
      </c>
      <c r="H3">
        <v>2</v>
      </c>
      <c r="K3" s="16" t="s">
        <v>14</v>
      </c>
      <c r="L3" s="16"/>
      <c r="M3" s="16"/>
      <c r="N3" s="16"/>
      <c r="O3" s="16"/>
      <c r="P3" s="16"/>
      <c r="Q3" s="16"/>
    </row>
    <row r="4" spans="1:17" x14ac:dyDescent="0.75">
      <c r="B4" s="1" t="s">
        <v>37</v>
      </c>
      <c r="C4" s="3" t="b">
        <v>1</v>
      </c>
      <c r="D4" s="3" t="b">
        <v>0</v>
      </c>
      <c r="E4" s="3" t="b">
        <v>0</v>
      </c>
      <c r="F4" s="3" t="b">
        <v>0</v>
      </c>
      <c r="G4" s="6" t="s">
        <v>245</v>
      </c>
      <c r="H4">
        <v>3</v>
      </c>
      <c r="K4" s="16"/>
      <c r="L4" s="16"/>
      <c r="M4" s="16"/>
      <c r="N4" s="16"/>
      <c r="O4" s="16"/>
      <c r="P4" s="16"/>
      <c r="Q4" s="16"/>
    </row>
    <row r="5" spans="1:17" x14ac:dyDescent="0.75">
      <c r="B5" s="1" t="s">
        <v>53</v>
      </c>
      <c r="C5" s="3" t="b">
        <v>0</v>
      </c>
      <c r="D5" s="3" t="b">
        <v>1</v>
      </c>
      <c r="E5" s="3" t="b">
        <v>0</v>
      </c>
      <c r="F5" s="3" t="b">
        <v>0</v>
      </c>
      <c r="G5" t="s">
        <v>260</v>
      </c>
      <c r="H5">
        <v>2</v>
      </c>
      <c r="K5" s="16"/>
      <c r="L5" s="16"/>
      <c r="M5" s="16"/>
      <c r="N5" s="16"/>
      <c r="O5" s="16"/>
      <c r="P5" s="16"/>
      <c r="Q5" s="16"/>
    </row>
    <row r="6" spans="1:17" x14ac:dyDescent="0.75">
      <c r="B6" s="1" t="s">
        <v>73</v>
      </c>
      <c r="C6" s="3" t="b">
        <v>0</v>
      </c>
      <c r="D6" s="3" t="b">
        <v>1</v>
      </c>
      <c r="E6" s="3" t="b">
        <v>0</v>
      </c>
      <c r="F6" s="3" t="b">
        <v>0</v>
      </c>
      <c r="G6" t="s">
        <v>260</v>
      </c>
      <c r="H6">
        <v>2</v>
      </c>
      <c r="K6" s="16"/>
      <c r="L6" s="16"/>
      <c r="M6" s="16"/>
      <c r="N6" s="16"/>
      <c r="O6" s="16"/>
      <c r="P6" s="16"/>
      <c r="Q6" s="16"/>
    </row>
    <row r="7" spans="1:17" x14ac:dyDescent="0.75">
      <c r="B7" s="1" t="s">
        <v>78</v>
      </c>
      <c r="C7" s="3" t="b">
        <v>1</v>
      </c>
      <c r="D7" s="3" t="b">
        <v>0</v>
      </c>
      <c r="E7" s="3" t="b">
        <v>0</v>
      </c>
      <c r="F7" s="3" t="b">
        <v>0</v>
      </c>
      <c r="G7" s="6" t="s">
        <v>209</v>
      </c>
      <c r="H7">
        <v>3</v>
      </c>
      <c r="K7" s="16"/>
      <c r="L7" s="16"/>
      <c r="M7" s="16"/>
      <c r="N7" s="16"/>
      <c r="O7" s="16"/>
      <c r="P7" s="16"/>
      <c r="Q7" s="16"/>
    </row>
    <row r="8" spans="1:17" ht="29.5" x14ac:dyDescent="0.75">
      <c r="B8" s="1" t="s">
        <v>82</v>
      </c>
      <c r="C8" s="3" t="b">
        <v>0</v>
      </c>
      <c r="D8" s="3" t="b">
        <v>0</v>
      </c>
      <c r="E8" s="3" t="b">
        <v>0</v>
      </c>
      <c r="F8" s="3" t="b">
        <v>1</v>
      </c>
      <c r="G8" s="6" t="s">
        <v>246</v>
      </c>
      <c r="H8">
        <v>3</v>
      </c>
      <c r="K8" s="16"/>
      <c r="L8" s="16"/>
      <c r="M8" s="16"/>
      <c r="N8" s="16"/>
      <c r="O8" s="16"/>
      <c r="P8" s="16"/>
      <c r="Q8" s="16"/>
    </row>
    <row r="9" spans="1:17" x14ac:dyDescent="0.75">
      <c r="B9" s="1" t="s">
        <v>83</v>
      </c>
      <c r="C9" s="3" t="b">
        <v>0</v>
      </c>
      <c r="D9" s="3" t="b">
        <v>1</v>
      </c>
      <c r="E9" s="3" t="b">
        <v>0</v>
      </c>
      <c r="F9" s="3" t="b">
        <v>0</v>
      </c>
      <c r="G9" t="s">
        <v>260</v>
      </c>
      <c r="H9">
        <v>2</v>
      </c>
      <c r="K9" s="16"/>
      <c r="L9" s="16"/>
      <c r="M9" s="16"/>
      <c r="N9" s="16"/>
      <c r="O9" s="16"/>
      <c r="P9" s="16"/>
      <c r="Q9" s="16"/>
    </row>
    <row r="10" spans="1:17" x14ac:dyDescent="0.75">
      <c r="B10" s="1" t="s">
        <v>84</v>
      </c>
      <c r="C10" s="3" t="b">
        <v>0</v>
      </c>
      <c r="D10" s="3" t="b">
        <v>1</v>
      </c>
      <c r="E10" s="3" t="b">
        <v>0</v>
      </c>
      <c r="F10" s="3" t="b">
        <v>0</v>
      </c>
      <c r="G10" s="6" t="s">
        <v>209</v>
      </c>
      <c r="H10">
        <v>3</v>
      </c>
      <c r="K10" s="16"/>
      <c r="L10" s="16"/>
      <c r="M10" s="16"/>
      <c r="N10" s="16"/>
      <c r="O10" s="16"/>
      <c r="P10" s="16"/>
      <c r="Q10" s="16"/>
    </row>
    <row r="11" spans="1:17" ht="29.5" x14ac:dyDescent="0.75">
      <c r="B11" s="1" t="s">
        <v>87</v>
      </c>
      <c r="C11" s="3" t="b">
        <v>0</v>
      </c>
      <c r="D11" s="3" t="b">
        <v>1</v>
      </c>
      <c r="E11" s="3" t="b">
        <v>0</v>
      </c>
      <c r="F11" s="3" t="b">
        <v>0</v>
      </c>
      <c r="G11" s="6" t="s">
        <v>244</v>
      </c>
      <c r="H11">
        <v>2</v>
      </c>
      <c r="K11" s="16"/>
      <c r="L11" s="16"/>
      <c r="M11" s="16"/>
      <c r="N11" s="16"/>
      <c r="O11" s="16"/>
      <c r="P11" s="16"/>
      <c r="Q11" s="16"/>
    </row>
    <row r="12" spans="1:17" x14ac:dyDescent="0.75">
      <c r="B12" s="1" t="s">
        <v>92</v>
      </c>
      <c r="C12" s="3" t="b">
        <v>1</v>
      </c>
      <c r="D12" s="3" t="b">
        <v>0</v>
      </c>
      <c r="E12" s="3" t="b">
        <v>0</v>
      </c>
      <c r="F12" s="3" t="b">
        <v>0</v>
      </c>
      <c r="G12" s="6" t="s">
        <v>209</v>
      </c>
      <c r="H12">
        <v>3</v>
      </c>
      <c r="K12" s="16"/>
      <c r="L12" s="16"/>
      <c r="M12" s="16"/>
      <c r="N12" s="16"/>
      <c r="O12" s="16"/>
      <c r="P12" s="16"/>
      <c r="Q12" s="16"/>
    </row>
    <row r="13" spans="1:17" x14ac:dyDescent="0.75">
      <c r="B13" s="1" t="s">
        <v>97</v>
      </c>
      <c r="C13" s="3" t="b">
        <v>1</v>
      </c>
      <c r="D13" s="3" t="b">
        <v>0</v>
      </c>
      <c r="E13" s="3" t="b">
        <v>0</v>
      </c>
      <c r="F13" s="3" t="b">
        <v>0</v>
      </c>
      <c r="G13" s="6" t="s">
        <v>209</v>
      </c>
      <c r="H13">
        <v>3</v>
      </c>
      <c r="K13" s="16"/>
      <c r="L13" s="16"/>
      <c r="M13" s="16"/>
      <c r="N13" s="16"/>
      <c r="O13" s="16"/>
      <c r="P13" s="16"/>
      <c r="Q13" s="16"/>
    </row>
    <row r="14" spans="1:17" x14ac:dyDescent="0.75">
      <c r="B14" s="1" t="s">
        <v>102</v>
      </c>
      <c r="C14" s="3" t="b">
        <v>0</v>
      </c>
      <c r="D14" s="3" t="b">
        <v>1</v>
      </c>
      <c r="E14" s="3" t="b">
        <v>0</v>
      </c>
      <c r="F14" s="3" t="b">
        <v>0</v>
      </c>
      <c r="G14" t="s">
        <v>260</v>
      </c>
      <c r="H14">
        <v>2</v>
      </c>
      <c r="K14" s="16"/>
      <c r="L14" s="16"/>
      <c r="M14" s="16"/>
      <c r="N14" s="16"/>
      <c r="O14" s="16"/>
      <c r="P14" s="16"/>
      <c r="Q14" s="16"/>
    </row>
    <row r="15" spans="1:17" x14ac:dyDescent="0.75">
      <c r="B15" s="1" t="s">
        <v>103</v>
      </c>
      <c r="C15" s="3" t="b">
        <v>0</v>
      </c>
      <c r="D15" s="3" t="b">
        <v>1</v>
      </c>
      <c r="E15" s="3" t="b">
        <v>0</v>
      </c>
      <c r="F15" s="3" t="b">
        <v>0</v>
      </c>
      <c r="G15" t="s">
        <v>260</v>
      </c>
      <c r="H15">
        <v>2</v>
      </c>
      <c r="K15" s="16"/>
      <c r="L15" s="16"/>
      <c r="M15" s="16"/>
      <c r="N15" s="16"/>
      <c r="O15" s="16"/>
      <c r="P15" s="16"/>
      <c r="Q15" s="16"/>
    </row>
    <row r="16" spans="1:17" ht="29.5" x14ac:dyDescent="0.75">
      <c r="B16" s="1" t="s">
        <v>108</v>
      </c>
      <c r="C16" s="3" t="b">
        <v>0</v>
      </c>
      <c r="D16" s="3" t="b">
        <v>1</v>
      </c>
      <c r="E16" s="3" t="b">
        <v>0</v>
      </c>
      <c r="F16" s="3" t="b">
        <v>0</v>
      </c>
      <c r="G16" s="6"/>
      <c r="H16">
        <v>2</v>
      </c>
      <c r="K16" s="16"/>
      <c r="L16" s="16"/>
      <c r="M16" s="16"/>
      <c r="N16" s="16"/>
      <c r="O16" s="16"/>
      <c r="P16" s="16"/>
      <c r="Q16" s="16"/>
    </row>
    <row r="17" spans="1:17" x14ac:dyDescent="0.75">
      <c r="B17" s="1" t="s">
        <v>67</v>
      </c>
      <c r="C17" s="3" t="b">
        <v>0</v>
      </c>
      <c r="D17" s="3" t="b">
        <v>0</v>
      </c>
      <c r="E17" s="3" t="b">
        <v>0</v>
      </c>
      <c r="F17" s="3" t="b">
        <v>1</v>
      </c>
      <c r="G17" s="6" t="s">
        <v>247</v>
      </c>
      <c r="H17">
        <v>3</v>
      </c>
      <c r="K17" s="16"/>
      <c r="L17" s="16"/>
      <c r="M17" s="16"/>
      <c r="N17" s="16"/>
      <c r="O17" s="16"/>
      <c r="P17" s="16"/>
      <c r="Q17" s="16"/>
    </row>
    <row r="18" spans="1:17" x14ac:dyDescent="0.75">
      <c r="B18" s="1" t="s">
        <v>110</v>
      </c>
      <c r="C18" s="3" t="b">
        <v>1</v>
      </c>
      <c r="D18" s="3" t="b">
        <v>0</v>
      </c>
      <c r="E18" s="3" t="b">
        <v>0</v>
      </c>
      <c r="F18" s="3" t="b">
        <v>0</v>
      </c>
      <c r="G18" s="6" t="s">
        <v>209</v>
      </c>
      <c r="H18">
        <v>3</v>
      </c>
      <c r="K18" s="16"/>
      <c r="L18" s="16"/>
      <c r="M18" s="16"/>
      <c r="N18" s="16"/>
      <c r="O18" s="16"/>
      <c r="P18" s="16"/>
      <c r="Q18" s="16"/>
    </row>
    <row r="19" spans="1:17" x14ac:dyDescent="0.75">
      <c r="B19" s="1" t="s">
        <v>111</v>
      </c>
      <c r="C19" s="3" t="b">
        <v>0</v>
      </c>
      <c r="D19" s="3" t="b">
        <v>1</v>
      </c>
      <c r="E19" s="3" t="b">
        <v>0</v>
      </c>
      <c r="F19" s="3" t="b">
        <v>0</v>
      </c>
      <c r="G19" t="s">
        <v>260</v>
      </c>
      <c r="H19">
        <v>2</v>
      </c>
      <c r="K19" s="16"/>
      <c r="L19" s="16"/>
      <c r="M19" s="16"/>
      <c r="N19" s="16"/>
      <c r="O19" s="16"/>
      <c r="P19" s="16"/>
      <c r="Q19" s="16"/>
    </row>
    <row r="20" spans="1:17" x14ac:dyDescent="0.75">
      <c r="B20" s="1" t="s">
        <v>119</v>
      </c>
      <c r="C20" s="3" t="b">
        <v>1</v>
      </c>
      <c r="D20" s="3" t="b">
        <v>0</v>
      </c>
      <c r="E20" s="3" t="b">
        <v>0</v>
      </c>
      <c r="F20" s="3" t="b">
        <v>0</v>
      </c>
      <c r="G20" s="6" t="s">
        <v>209</v>
      </c>
      <c r="H20">
        <v>3</v>
      </c>
      <c r="K20" s="16"/>
      <c r="L20" s="16"/>
      <c r="M20" s="16"/>
      <c r="N20" s="16"/>
      <c r="O20" s="16"/>
      <c r="P20" s="16"/>
      <c r="Q20" s="16"/>
    </row>
    <row r="21" spans="1:17" x14ac:dyDescent="0.75">
      <c r="B21" s="1" t="s">
        <v>122</v>
      </c>
      <c r="C21" s="3" t="b">
        <v>1</v>
      </c>
      <c r="D21" s="3" t="b">
        <v>0</v>
      </c>
      <c r="E21" s="3" t="b">
        <v>0</v>
      </c>
      <c r="F21" s="3" t="b">
        <v>0</v>
      </c>
      <c r="G21" s="6" t="s">
        <v>209</v>
      </c>
      <c r="H21">
        <v>2</v>
      </c>
      <c r="K21" s="16"/>
      <c r="L21" s="16"/>
      <c r="M21" s="16"/>
      <c r="N21" s="16"/>
      <c r="O21" s="16"/>
      <c r="P21" s="16"/>
      <c r="Q21" s="16"/>
    </row>
    <row r="22" spans="1:17" x14ac:dyDescent="0.75">
      <c r="B22" s="1" t="s">
        <v>133</v>
      </c>
      <c r="C22" s="3" t="b">
        <v>0</v>
      </c>
      <c r="D22" s="3" t="b">
        <v>1</v>
      </c>
      <c r="E22" s="3" t="b">
        <v>0</v>
      </c>
      <c r="F22" s="3" t="b">
        <v>0</v>
      </c>
      <c r="G22" t="s">
        <v>260</v>
      </c>
      <c r="H22">
        <v>3</v>
      </c>
      <c r="K22" s="16"/>
      <c r="L22" s="16"/>
      <c r="M22" s="16"/>
      <c r="N22" s="16"/>
      <c r="O22" s="16"/>
      <c r="P22" s="16"/>
      <c r="Q22" s="16"/>
    </row>
    <row r="23" spans="1:17" ht="29.5" x14ac:dyDescent="0.75">
      <c r="B23" s="1" t="s">
        <v>149</v>
      </c>
      <c r="C23" s="3" t="b">
        <v>0</v>
      </c>
      <c r="D23" s="3" t="b">
        <v>0</v>
      </c>
      <c r="E23" s="3" t="b">
        <v>1</v>
      </c>
      <c r="F23" s="3" t="b">
        <v>0</v>
      </c>
      <c r="G23" s="6" t="s">
        <v>248</v>
      </c>
      <c r="H23">
        <v>2</v>
      </c>
      <c r="K23" s="16"/>
      <c r="L23" s="16"/>
      <c r="M23" s="16"/>
      <c r="N23" s="16"/>
      <c r="O23" s="16"/>
      <c r="P23" s="16"/>
      <c r="Q23" s="16"/>
    </row>
    <row r="24" spans="1:17" x14ac:dyDescent="0.75">
      <c r="B24" s="1" t="s">
        <v>154</v>
      </c>
      <c r="C24" s="3" t="b">
        <v>0</v>
      </c>
      <c r="D24" s="3" t="b">
        <v>0</v>
      </c>
      <c r="E24" s="3" t="b">
        <v>0</v>
      </c>
      <c r="F24" s="3" t="b">
        <v>1</v>
      </c>
      <c r="G24" s="6" t="s">
        <v>249</v>
      </c>
      <c r="H24">
        <v>3</v>
      </c>
      <c r="K24" s="16"/>
      <c r="L24" s="16"/>
      <c r="M24" s="16"/>
      <c r="N24" s="16"/>
      <c r="O24" s="16"/>
      <c r="P24" s="16"/>
      <c r="Q24" s="16"/>
    </row>
    <row r="25" spans="1:17" ht="29.5" x14ac:dyDescent="0.75">
      <c r="B25" s="1" t="s">
        <v>157</v>
      </c>
      <c r="C25" s="3" t="b">
        <v>0</v>
      </c>
      <c r="D25" s="3" t="b">
        <v>1</v>
      </c>
      <c r="E25" s="3" t="b">
        <v>0</v>
      </c>
      <c r="F25" s="3" t="b">
        <v>0</v>
      </c>
      <c r="G25" t="s">
        <v>260</v>
      </c>
      <c r="H25">
        <v>2</v>
      </c>
      <c r="K25" s="16"/>
      <c r="L25" s="16"/>
      <c r="M25" s="16"/>
      <c r="N25" s="16"/>
      <c r="O25" s="16"/>
      <c r="P25" s="16"/>
      <c r="Q25" s="16"/>
    </row>
    <row r="26" spans="1:17" x14ac:dyDescent="0.75">
      <c r="B26" s="1" t="s">
        <v>160</v>
      </c>
      <c r="C26" s="3" t="b">
        <v>0</v>
      </c>
      <c r="D26" s="3" t="b">
        <v>1</v>
      </c>
      <c r="E26" s="3" t="b">
        <v>0</v>
      </c>
      <c r="F26" s="3" t="b">
        <v>0</v>
      </c>
      <c r="G26" t="s">
        <v>260</v>
      </c>
      <c r="H26">
        <v>2</v>
      </c>
      <c r="K26" s="16"/>
      <c r="L26" s="16"/>
      <c r="M26" s="16"/>
      <c r="N26" s="16"/>
      <c r="O26" s="16"/>
      <c r="P26" s="16"/>
      <c r="Q26" s="16"/>
    </row>
    <row r="27" spans="1:17" x14ac:dyDescent="0.75">
      <c r="A27" t="s">
        <v>265</v>
      </c>
      <c r="B27" s="10" t="s">
        <v>172</v>
      </c>
      <c r="C27" s="11" t="s">
        <v>197</v>
      </c>
      <c r="D27" s="3" t="b">
        <v>0</v>
      </c>
      <c r="E27" s="3" t="b">
        <v>0</v>
      </c>
      <c r="F27" s="3" t="b">
        <v>0</v>
      </c>
      <c r="G27" s="6" t="s">
        <v>209</v>
      </c>
      <c r="H27">
        <v>3</v>
      </c>
    </row>
    <row r="28" spans="1:17" x14ac:dyDescent="0.75">
      <c r="C28" s="3" t="b">
        <v>0</v>
      </c>
      <c r="D28" s="3" t="b">
        <v>0</v>
      </c>
      <c r="E28" s="3" t="b">
        <v>0</v>
      </c>
      <c r="F28" s="3" t="b">
        <v>0</v>
      </c>
      <c r="G28" s="6"/>
      <c r="H28">
        <v>2</v>
      </c>
    </row>
    <row r="29" spans="1:17" x14ac:dyDescent="0.75">
      <c r="G29" s="6"/>
      <c r="K29" t="s">
        <v>198</v>
      </c>
      <c r="L29" s="7" t="s">
        <v>242</v>
      </c>
      <c r="M29" s="7"/>
      <c r="N29" s="7"/>
      <c r="O29" s="7"/>
    </row>
    <row r="30" spans="1:17" x14ac:dyDescent="0.75">
      <c r="G30" s="6"/>
    </row>
    <row r="31" spans="1:17" x14ac:dyDescent="0.75">
      <c r="G31" s="6"/>
    </row>
    <row r="32" spans="1:17" x14ac:dyDescent="0.75">
      <c r="G32" s="6"/>
    </row>
    <row r="33" spans="3:11" x14ac:dyDescent="0.75">
      <c r="G33" s="6"/>
      <c r="K33" s="5"/>
    </row>
    <row r="34" spans="3:11" x14ac:dyDescent="0.75">
      <c r="C34">
        <f>COUNTIF(C3:C31, TRUE)</f>
        <v>7</v>
      </c>
      <c r="D34">
        <f t="shared" ref="D34:F34" si="0">COUNTIF(D3:D31, TRUE)</f>
        <v>13</v>
      </c>
      <c r="E34">
        <f t="shared" si="0"/>
        <v>1</v>
      </c>
      <c r="F34">
        <f t="shared" si="0"/>
        <v>3</v>
      </c>
      <c r="G34" s="6">
        <f>SUM(C34:F34)</f>
        <v>24</v>
      </c>
    </row>
    <row r="35" spans="3:11" x14ac:dyDescent="0.75">
      <c r="G35" s="6"/>
    </row>
  </sheetData>
  <mergeCells count="1">
    <mergeCell ref="K3:Q26"/>
  </mergeCells>
  <conditionalFormatting sqref="H3:H28">
    <cfRule type="cellIs" dxfId="1" priority="1" operator="lessThan">
      <formula>2</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DF6DB-B9E0-4967-9045-6BE7F134BAC4}">
  <dimension ref="A1:P35"/>
  <sheetViews>
    <sheetView tabSelected="1" workbookViewId="0">
      <selection activeCell="N37" sqref="N37"/>
    </sheetView>
  </sheetViews>
  <sheetFormatPr defaultRowHeight="14.75" x14ac:dyDescent="0.75"/>
  <cols>
    <col min="2" max="2" width="74.453125" customWidth="1"/>
    <col min="7" max="7" width="58.40625" customWidth="1"/>
    <col min="16" max="16" width="8.7265625" customWidth="1"/>
  </cols>
  <sheetData>
    <row r="1" spans="1:16" x14ac:dyDescent="0.75">
      <c r="A1" s="12" t="s">
        <v>263</v>
      </c>
      <c r="B1" s="12" t="s">
        <v>7</v>
      </c>
      <c r="C1" s="12"/>
      <c r="D1" s="12"/>
      <c r="E1" s="12"/>
      <c r="F1" s="12"/>
      <c r="G1" s="13" t="s">
        <v>203</v>
      </c>
      <c r="H1" s="12" t="s">
        <v>204</v>
      </c>
    </row>
    <row r="2" spans="1:16" x14ac:dyDescent="0.75">
      <c r="A2" s="12" t="s">
        <v>264</v>
      </c>
      <c r="B2" s="12" t="s">
        <v>185</v>
      </c>
      <c r="C2" s="12" t="s">
        <v>262</v>
      </c>
      <c r="D2" s="12" t="s">
        <v>200</v>
      </c>
      <c r="E2" s="12" t="s">
        <v>201</v>
      </c>
      <c r="F2" s="12" t="s">
        <v>202</v>
      </c>
      <c r="G2" s="13"/>
      <c r="H2" s="12"/>
    </row>
    <row r="3" spans="1:16" x14ac:dyDescent="0.75">
      <c r="B3" s="1" t="s">
        <v>39</v>
      </c>
      <c r="C3" s="3" t="b">
        <v>1</v>
      </c>
      <c r="D3" s="3" t="b">
        <v>0</v>
      </c>
      <c r="E3" s="3" t="b">
        <v>0</v>
      </c>
      <c r="F3" s="3" t="b">
        <v>0</v>
      </c>
      <c r="G3" s="6"/>
      <c r="H3">
        <v>3</v>
      </c>
      <c r="J3" s="14" t="s">
        <v>241</v>
      </c>
      <c r="K3" s="14"/>
      <c r="L3" s="14"/>
      <c r="M3" s="14"/>
      <c r="N3" s="14"/>
      <c r="O3" s="14"/>
      <c r="P3" s="14"/>
    </row>
    <row r="4" spans="1:16" ht="29.5" x14ac:dyDescent="0.75">
      <c r="B4" s="1" t="s">
        <v>48</v>
      </c>
      <c r="C4" s="3" t="b">
        <v>1</v>
      </c>
      <c r="D4" s="3" t="b">
        <v>0</v>
      </c>
      <c r="E4" s="3" t="b">
        <v>0</v>
      </c>
      <c r="F4" s="3" t="b">
        <v>0</v>
      </c>
      <c r="G4" s="6"/>
      <c r="H4">
        <v>3</v>
      </c>
      <c r="J4" s="14"/>
      <c r="K4" s="14"/>
      <c r="L4" s="14"/>
      <c r="M4" s="14"/>
      <c r="N4" s="14"/>
      <c r="O4" s="14"/>
      <c r="P4" s="14"/>
    </row>
    <row r="5" spans="1:16" ht="44.25" x14ac:dyDescent="0.75">
      <c r="B5" s="1" t="s">
        <v>49</v>
      </c>
      <c r="C5" s="3" t="b">
        <v>0</v>
      </c>
      <c r="D5" s="3" t="b">
        <v>0</v>
      </c>
      <c r="E5" s="3" t="b">
        <v>1</v>
      </c>
      <c r="F5" s="3" t="b">
        <v>0</v>
      </c>
      <c r="G5" s="6" t="s">
        <v>261</v>
      </c>
      <c r="H5">
        <v>3</v>
      </c>
      <c r="J5" s="14"/>
      <c r="K5" s="14"/>
      <c r="L5" s="14"/>
      <c r="M5" s="14"/>
      <c r="N5" s="14"/>
      <c r="O5" s="14"/>
      <c r="P5" s="14"/>
    </row>
    <row r="6" spans="1:16" x14ac:dyDescent="0.75">
      <c r="B6" s="1" t="s">
        <v>57</v>
      </c>
      <c r="C6" s="3" t="b">
        <v>1</v>
      </c>
      <c r="D6" s="3" t="b">
        <v>0</v>
      </c>
      <c r="E6" s="3" t="b">
        <v>0</v>
      </c>
      <c r="F6" s="3" t="b">
        <v>0</v>
      </c>
      <c r="G6" s="6"/>
      <c r="H6">
        <v>3</v>
      </c>
      <c r="J6" s="14"/>
      <c r="K6" s="14"/>
      <c r="L6" s="14"/>
      <c r="M6" s="14"/>
      <c r="N6" s="14"/>
      <c r="O6" s="14"/>
      <c r="P6" s="14"/>
    </row>
    <row r="7" spans="1:16" x14ac:dyDescent="0.75">
      <c r="B7" s="1" t="s">
        <v>63</v>
      </c>
      <c r="C7" s="3" t="b">
        <v>0</v>
      </c>
      <c r="D7" s="3" t="b">
        <v>0</v>
      </c>
      <c r="E7" s="3" t="b">
        <v>0</v>
      </c>
      <c r="F7" s="3" t="b">
        <v>1</v>
      </c>
      <c r="G7" s="6"/>
      <c r="H7">
        <v>3</v>
      </c>
      <c r="J7" s="14"/>
      <c r="K7" s="14"/>
      <c r="L7" s="14"/>
      <c r="M7" s="14"/>
      <c r="N7" s="14"/>
      <c r="O7" s="14"/>
      <c r="P7" s="14"/>
    </row>
    <row r="8" spans="1:16" x14ac:dyDescent="0.75">
      <c r="B8" s="1" t="s">
        <v>65</v>
      </c>
      <c r="C8" s="3" t="b">
        <v>0</v>
      </c>
      <c r="D8" s="3" t="b">
        <v>0</v>
      </c>
      <c r="E8" s="3" t="b">
        <v>0</v>
      </c>
      <c r="F8" s="3" t="b">
        <v>1</v>
      </c>
      <c r="G8" s="6"/>
      <c r="H8">
        <v>3</v>
      </c>
      <c r="J8" s="14"/>
      <c r="K8" s="14"/>
      <c r="L8" s="14"/>
      <c r="M8" s="14"/>
      <c r="N8" s="14"/>
      <c r="O8" s="14"/>
      <c r="P8" s="14"/>
    </row>
    <row r="9" spans="1:16" x14ac:dyDescent="0.75">
      <c r="B9" s="1" t="s">
        <v>75</v>
      </c>
      <c r="C9" s="3" t="b">
        <v>1</v>
      </c>
      <c r="D9" s="3" t="b">
        <v>0</v>
      </c>
      <c r="E9" s="3" t="b">
        <v>0</v>
      </c>
      <c r="F9" s="3" t="b">
        <v>0</v>
      </c>
      <c r="G9" s="6"/>
      <c r="H9">
        <v>3</v>
      </c>
      <c r="J9" s="14"/>
      <c r="K9" s="14"/>
      <c r="L9" s="14"/>
      <c r="M9" s="14"/>
      <c r="N9" s="14"/>
      <c r="O9" s="14"/>
      <c r="P9" s="14"/>
    </row>
    <row r="10" spans="1:16" ht="29.5" x14ac:dyDescent="0.75">
      <c r="A10" t="s">
        <v>265</v>
      </c>
      <c r="B10" s="10" t="s">
        <v>89</v>
      </c>
      <c r="C10" s="3" t="b">
        <v>0</v>
      </c>
      <c r="D10" s="3" t="b">
        <v>0</v>
      </c>
      <c r="E10" s="3" t="b">
        <v>0</v>
      </c>
      <c r="F10" s="3" t="s">
        <v>202</v>
      </c>
      <c r="G10" s="6" t="s">
        <v>250</v>
      </c>
      <c r="H10">
        <v>3</v>
      </c>
      <c r="J10" s="14"/>
      <c r="K10" s="14"/>
      <c r="L10" s="14"/>
      <c r="M10" s="14"/>
      <c r="N10" s="14"/>
      <c r="O10" s="14"/>
      <c r="P10" s="14"/>
    </row>
    <row r="11" spans="1:16" x14ac:dyDescent="0.75">
      <c r="A11" t="s">
        <v>265</v>
      </c>
      <c r="B11" s="10" t="s">
        <v>90</v>
      </c>
      <c r="C11" s="3" t="s">
        <v>197</v>
      </c>
      <c r="D11" s="3" t="b">
        <v>0</v>
      </c>
      <c r="E11" s="3" t="b">
        <v>0</v>
      </c>
      <c r="F11" s="3" t="b">
        <v>0</v>
      </c>
      <c r="G11" s="6"/>
      <c r="H11">
        <v>3</v>
      </c>
      <c r="J11" s="14"/>
      <c r="K11" s="14"/>
      <c r="L11" s="14"/>
      <c r="M11" s="14"/>
      <c r="N11" s="14"/>
      <c r="O11" s="14"/>
      <c r="P11" s="14"/>
    </row>
    <row r="12" spans="1:16" ht="29.5" x14ac:dyDescent="0.75">
      <c r="B12" s="1" t="s">
        <v>91</v>
      </c>
      <c r="C12" s="3" t="b">
        <v>1</v>
      </c>
      <c r="D12" s="3" t="b">
        <v>0</v>
      </c>
      <c r="E12" s="3" t="b">
        <v>0</v>
      </c>
      <c r="F12" s="3" t="b">
        <v>0</v>
      </c>
      <c r="G12" s="6"/>
      <c r="H12">
        <v>3</v>
      </c>
      <c r="J12" s="14"/>
      <c r="K12" s="14"/>
      <c r="L12" s="14"/>
      <c r="M12" s="14"/>
      <c r="N12" s="14"/>
      <c r="O12" s="14"/>
      <c r="P12" s="14"/>
    </row>
    <row r="13" spans="1:16" ht="29.5" x14ac:dyDescent="0.75">
      <c r="B13" s="1" t="s">
        <v>100</v>
      </c>
      <c r="C13" s="3" t="b">
        <v>0</v>
      </c>
      <c r="D13" s="3" t="b">
        <v>0</v>
      </c>
      <c r="E13" s="3" t="b">
        <v>0</v>
      </c>
      <c r="F13" s="3" t="b">
        <v>1</v>
      </c>
      <c r="G13" s="6" t="s">
        <v>251</v>
      </c>
      <c r="H13">
        <v>3</v>
      </c>
      <c r="J13" s="14"/>
      <c r="K13" s="14"/>
      <c r="L13" s="14"/>
      <c r="M13" s="14"/>
      <c r="N13" s="14"/>
      <c r="O13" s="14"/>
      <c r="P13" s="14"/>
    </row>
    <row r="14" spans="1:16" ht="29.5" x14ac:dyDescent="0.75">
      <c r="B14" s="1" t="s">
        <v>107</v>
      </c>
      <c r="C14" s="3" t="b">
        <v>0</v>
      </c>
      <c r="D14" s="3" t="b">
        <v>0</v>
      </c>
      <c r="E14" s="3" t="b">
        <v>1</v>
      </c>
      <c r="F14" s="3" t="b">
        <v>0</v>
      </c>
      <c r="G14" s="6"/>
      <c r="H14">
        <v>3</v>
      </c>
      <c r="J14" s="14"/>
      <c r="K14" s="14"/>
      <c r="L14" s="14"/>
      <c r="M14" s="14"/>
      <c r="N14" s="14"/>
      <c r="O14" s="14"/>
      <c r="P14" s="14"/>
    </row>
    <row r="15" spans="1:16" x14ac:dyDescent="0.75">
      <c r="B15" s="1" t="s">
        <v>117</v>
      </c>
      <c r="C15" s="3" t="b">
        <v>1</v>
      </c>
      <c r="D15" s="3" t="b">
        <v>0</v>
      </c>
      <c r="E15" s="3" t="b">
        <v>0</v>
      </c>
      <c r="F15" s="3" t="b">
        <v>0</v>
      </c>
      <c r="G15" s="6"/>
      <c r="H15">
        <v>3</v>
      </c>
      <c r="J15" s="14"/>
      <c r="K15" s="14"/>
      <c r="L15" s="14"/>
      <c r="M15" s="14"/>
      <c r="N15" s="14"/>
      <c r="O15" s="14"/>
      <c r="P15" s="14"/>
    </row>
    <row r="16" spans="1:16" x14ac:dyDescent="0.75">
      <c r="B16" s="1" t="s">
        <v>120</v>
      </c>
      <c r="C16" s="3" t="b">
        <v>1</v>
      </c>
      <c r="D16" s="3" t="b">
        <v>0</v>
      </c>
      <c r="E16" s="3" t="b">
        <v>0</v>
      </c>
      <c r="F16" s="3" t="b">
        <v>0</v>
      </c>
      <c r="G16" s="6"/>
      <c r="H16">
        <v>3</v>
      </c>
      <c r="J16" s="14"/>
      <c r="K16" s="14"/>
      <c r="L16" s="14"/>
      <c r="M16" s="14"/>
      <c r="N16" s="14"/>
      <c r="O16" s="14"/>
      <c r="P16" s="14"/>
    </row>
    <row r="17" spans="1:16" x14ac:dyDescent="0.75">
      <c r="A17" t="s">
        <v>265</v>
      </c>
      <c r="B17" s="10" t="s">
        <v>123</v>
      </c>
      <c r="C17" s="3" t="s">
        <v>197</v>
      </c>
      <c r="D17" s="3" t="b">
        <v>0</v>
      </c>
      <c r="E17" s="3" t="b">
        <v>0</v>
      </c>
      <c r="F17" s="3" t="b">
        <v>0</v>
      </c>
      <c r="G17" s="6"/>
      <c r="H17">
        <v>3</v>
      </c>
      <c r="J17" s="14"/>
      <c r="K17" s="14"/>
      <c r="L17" s="14"/>
      <c r="M17" s="14"/>
      <c r="N17" s="14"/>
      <c r="O17" s="14"/>
      <c r="P17" s="14"/>
    </row>
    <row r="18" spans="1:16" ht="29.5" x14ac:dyDescent="0.75">
      <c r="B18" s="1" t="s">
        <v>124</v>
      </c>
      <c r="C18" s="3" t="b">
        <v>0</v>
      </c>
      <c r="D18" s="3" t="b">
        <v>0</v>
      </c>
      <c r="E18" s="3" t="b">
        <v>0</v>
      </c>
      <c r="F18" s="3" t="b">
        <v>1</v>
      </c>
      <c r="G18" t="s">
        <v>252</v>
      </c>
      <c r="H18">
        <v>3</v>
      </c>
      <c r="J18" s="14"/>
      <c r="K18" s="14"/>
      <c r="L18" s="14"/>
      <c r="M18" s="14"/>
      <c r="N18" s="14"/>
      <c r="O18" s="14"/>
      <c r="P18" s="14"/>
    </row>
    <row r="19" spans="1:16" ht="29.5" x14ac:dyDescent="0.75">
      <c r="B19" s="1" t="s">
        <v>129</v>
      </c>
      <c r="C19" s="3" t="b">
        <v>1</v>
      </c>
      <c r="D19" s="3" t="b">
        <v>0</v>
      </c>
      <c r="E19" s="3" t="b">
        <v>0</v>
      </c>
      <c r="F19" s="3" t="b">
        <v>0</v>
      </c>
      <c r="G19" s="8"/>
      <c r="H19">
        <v>3</v>
      </c>
      <c r="J19" s="14"/>
      <c r="K19" s="14"/>
      <c r="L19" s="14"/>
      <c r="M19" s="14"/>
      <c r="N19" s="14"/>
      <c r="O19" s="14"/>
      <c r="P19" s="14"/>
    </row>
    <row r="20" spans="1:16" x14ac:dyDescent="0.75">
      <c r="A20" t="s">
        <v>265</v>
      </c>
      <c r="B20" s="10" t="s">
        <v>138</v>
      </c>
      <c r="C20" s="3" t="s">
        <v>197</v>
      </c>
      <c r="D20" s="3" t="b">
        <v>0</v>
      </c>
      <c r="E20" s="3" t="b">
        <v>0</v>
      </c>
      <c r="F20" s="3" t="b">
        <v>0</v>
      </c>
      <c r="G20" s="6"/>
      <c r="H20">
        <v>3</v>
      </c>
      <c r="J20" s="14"/>
      <c r="K20" s="14"/>
      <c r="L20" s="14"/>
      <c r="M20" s="14"/>
      <c r="N20" s="14"/>
      <c r="O20" s="14"/>
      <c r="P20" s="14"/>
    </row>
    <row r="21" spans="1:16" x14ac:dyDescent="0.75">
      <c r="B21" s="1" t="s">
        <v>139</v>
      </c>
      <c r="C21" s="3" t="b">
        <v>0</v>
      </c>
      <c r="D21" s="3" t="b">
        <v>0</v>
      </c>
      <c r="E21" s="3" t="b">
        <v>1</v>
      </c>
      <c r="F21" s="3" t="b">
        <v>0</v>
      </c>
      <c r="G21" s="6"/>
      <c r="H21">
        <v>3</v>
      </c>
      <c r="J21" s="14"/>
      <c r="K21" s="14"/>
      <c r="L21" s="14"/>
      <c r="M21" s="14"/>
      <c r="N21" s="14"/>
      <c r="O21" s="14"/>
      <c r="P21" s="14"/>
    </row>
    <row r="22" spans="1:16" x14ac:dyDescent="0.75">
      <c r="A22" t="s">
        <v>265</v>
      </c>
      <c r="B22" s="10" t="s">
        <v>141</v>
      </c>
      <c r="C22" s="3" t="b">
        <v>0</v>
      </c>
      <c r="D22" s="3" t="b">
        <v>0</v>
      </c>
      <c r="E22" s="3" t="s">
        <v>201</v>
      </c>
      <c r="F22" s="3" t="b">
        <v>0</v>
      </c>
      <c r="G22" s="6"/>
      <c r="H22">
        <v>3</v>
      </c>
      <c r="J22" s="14"/>
      <c r="K22" s="14"/>
      <c r="L22" s="14"/>
      <c r="M22" s="14"/>
      <c r="N22" s="14"/>
      <c r="O22" s="14"/>
      <c r="P22" s="14"/>
    </row>
    <row r="23" spans="1:16" ht="29.5" x14ac:dyDescent="0.75">
      <c r="B23" s="1" t="s">
        <v>147</v>
      </c>
      <c r="C23" s="3" t="b">
        <v>0</v>
      </c>
      <c r="D23" s="3" t="b">
        <v>1</v>
      </c>
      <c r="E23" s="3" t="b">
        <v>0</v>
      </c>
      <c r="F23" s="3" t="b">
        <v>0</v>
      </c>
      <c r="G23" s="6" t="s">
        <v>253</v>
      </c>
      <c r="H23">
        <v>3</v>
      </c>
      <c r="J23" s="14"/>
      <c r="K23" s="14"/>
      <c r="L23" s="14"/>
      <c r="M23" s="14"/>
      <c r="N23" s="14"/>
      <c r="O23" s="14"/>
      <c r="P23" s="14"/>
    </row>
    <row r="24" spans="1:16" x14ac:dyDescent="0.75">
      <c r="B24" s="1" t="s">
        <v>151</v>
      </c>
      <c r="C24" s="3" t="b">
        <v>0</v>
      </c>
      <c r="D24" s="3" t="b">
        <v>0</v>
      </c>
      <c r="E24" s="3" t="b">
        <v>1</v>
      </c>
      <c r="F24" s="3" t="b">
        <v>0</v>
      </c>
      <c r="G24" s="6"/>
      <c r="H24">
        <v>3</v>
      </c>
      <c r="J24" s="14"/>
      <c r="K24" s="14"/>
      <c r="L24" s="14"/>
      <c r="M24" s="14"/>
      <c r="N24" s="14"/>
      <c r="O24" s="14"/>
      <c r="P24" s="14"/>
    </row>
    <row r="25" spans="1:16" x14ac:dyDescent="0.75">
      <c r="B25" s="1" t="s">
        <v>159</v>
      </c>
      <c r="C25" s="3" t="b">
        <v>0</v>
      </c>
      <c r="D25" s="3" t="b">
        <v>0</v>
      </c>
      <c r="E25" s="3" t="b">
        <v>1</v>
      </c>
      <c r="F25" s="3" t="b">
        <v>0</v>
      </c>
      <c r="G25" s="6"/>
      <c r="H25">
        <v>3</v>
      </c>
      <c r="J25" s="14"/>
      <c r="K25" s="14"/>
      <c r="L25" s="14"/>
      <c r="M25" s="14"/>
      <c r="N25" s="14"/>
      <c r="O25" s="14"/>
      <c r="P25" s="14"/>
    </row>
    <row r="26" spans="1:16" x14ac:dyDescent="0.75">
      <c r="B26" s="1" t="s">
        <v>162</v>
      </c>
      <c r="C26" s="3" t="b">
        <v>0</v>
      </c>
      <c r="D26" s="3" t="b">
        <v>0</v>
      </c>
      <c r="E26" s="3" t="b">
        <v>0</v>
      </c>
      <c r="F26" s="3" t="b">
        <v>1</v>
      </c>
      <c r="G26" s="6"/>
      <c r="H26">
        <v>3</v>
      </c>
      <c r="J26" s="14"/>
      <c r="K26" s="14"/>
      <c r="L26" s="14"/>
      <c r="M26" s="14"/>
      <c r="N26" s="14"/>
      <c r="O26" s="14"/>
      <c r="P26" s="14"/>
    </row>
    <row r="27" spans="1:16" x14ac:dyDescent="0.75">
      <c r="B27" s="1" t="s">
        <v>168</v>
      </c>
      <c r="C27" s="3" t="b">
        <v>1</v>
      </c>
      <c r="D27" s="3" t="b">
        <v>0</v>
      </c>
      <c r="E27" s="3" t="b">
        <v>0</v>
      </c>
      <c r="F27" s="3" t="b">
        <v>0</v>
      </c>
      <c r="G27" s="6"/>
      <c r="H27">
        <v>3</v>
      </c>
    </row>
    <row r="28" spans="1:16" x14ac:dyDescent="0.75">
      <c r="B28" s="1" t="s">
        <v>190</v>
      </c>
      <c r="C28" s="3" t="b">
        <v>0</v>
      </c>
      <c r="D28" s="3" t="b">
        <v>0</v>
      </c>
      <c r="E28" s="3" t="b">
        <v>1</v>
      </c>
      <c r="F28" s="3" t="b">
        <v>0</v>
      </c>
      <c r="G28" s="6"/>
      <c r="H28">
        <v>3</v>
      </c>
    </row>
    <row r="29" spans="1:16" ht="29.5" x14ac:dyDescent="0.75">
      <c r="B29" s="1" t="s">
        <v>191</v>
      </c>
      <c r="C29" s="3" t="b">
        <v>0</v>
      </c>
      <c r="D29" s="3" t="b">
        <v>0</v>
      </c>
      <c r="E29" s="3" t="b">
        <v>0</v>
      </c>
      <c r="F29" s="3" t="b">
        <v>1</v>
      </c>
      <c r="G29" s="6"/>
      <c r="H29">
        <v>3</v>
      </c>
      <c r="J29" t="s">
        <v>198</v>
      </c>
      <c r="K29" s="7" t="s">
        <v>243</v>
      </c>
      <c r="L29" s="7"/>
      <c r="M29" s="7"/>
    </row>
    <row r="30" spans="1:16" ht="29.5" x14ac:dyDescent="0.75">
      <c r="B30" s="1" t="s">
        <v>192</v>
      </c>
      <c r="C30" s="3" t="b">
        <v>0</v>
      </c>
      <c r="D30" s="3" t="b">
        <v>0</v>
      </c>
      <c r="E30" s="3" t="b">
        <v>1</v>
      </c>
      <c r="F30" s="3" t="b">
        <v>0</v>
      </c>
      <c r="G30" s="6"/>
      <c r="H30">
        <v>3</v>
      </c>
    </row>
    <row r="31" spans="1:16" ht="29.5" x14ac:dyDescent="0.75">
      <c r="B31" s="1" t="s">
        <v>193</v>
      </c>
      <c r="C31" s="3" t="b">
        <v>1</v>
      </c>
      <c r="D31" s="3" t="b">
        <v>0</v>
      </c>
      <c r="E31" s="3" t="b">
        <v>0</v>
      </c>
      <c r="F31" s="3" t="b">
        <v>0</v>
      </c>
      <c r="G31" s="6"/>
      <c r="H31">
        <v>3</v>
      </c>
    </row>
    <row r="32" spans="1:16" ht="29.5" x14ac:dyDescent="0.75">
      <c r="B32" s="1" t="s">
        <v>194</v>
      </c>
      <c r="C32" s="3" t="b">
        <v>0</v>
      </c>
      <c r="D32" s="3" t="b">
        <v>0</v>
      </c>
      <c r="E32" s="3" t="b">
        <v>0</v>
      </c>
      <c r="F32" s="3" t="b">
        <v>1</v>
      </c>
      <c r="G32" s="6"/>
      <c r="H32">
        <v>3</v>
      </c>
    </row>
    <row r="33" spans="3:10" x14ac:dyDescent="0.75">
      <c r="G33" s="6"/>
      <c r="J33" s="5"/>
    </row>
    <row r="34" spans="3:10" x14ac:dyDescent="0.75">
      <c r="C34">
        <f>COUNTIF(C3:C31, TRUE)</f>
        <v>10</v>
      </c>
      <c r="D34">
        <f t="shared" ref="D34:F34" si="0">COUNTIF(D3:D31, TRUE)</f>
        <v>1</v>
      </c>
      <c r="E34">
        <f t="shared" si="0"/>
        <v>7</v>
      </c>
      <c r="F34">
        <f t="shared" si="0"/>
        <v>6</v>
      </c>
      <c r="G34" s="6">
        <f>SUM(C34:F34)</f>
        <v>24</v>
      </c>
    </row>
    <row r="35" spans="3:10" x14ac:dyDescent="0.75">
      <c r="G35" s="6"/>
    </row>
  </sheetData>
  <mergeCells count="1">
    <mergeCell ref="J3:P26"/>
  </mergeCells>
  <conditionalFormatting sqref="H3:H32">
    <cfRule type="cellIs" dxfId="0" priority="1" operator="lessThan">
      <formula>2</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90074D-4F2B-4BFA-9DF5-41F68F370627}">
  <dimension ref="A1:F26"/>
  <sheetViews>
    <sheetView workbookViewId="0">
      <selection activeCell="K10" sqref="K10"/>
    </sheetView>
  </sheetViews>
  <sheetFormatPr defaultRowHeight="14.75" x14ac:dyDescent="0.75"/>
  <cols>
    <col min="1" max="1" width="10.2265625" customWidth="1"/>
  </cols>
  <sheetData>
    <row r="1" spans="1:5" x14ac:dyDescent="0.75">
      <c r="A1" t="s">
        <v>186</v>
      </c>
      <c r="B1" t="s">
        <v>262</v>
      </c>
      <c r="C1" t="s">
        <v>200</v>
      </c>
      <c r="D1" t="s">
        <v>201</v>
      </c>
      <c r="E1" t="s">
        <v>202</v>
      </c>
    </row>
    <row r="2" spans="1:5" x14ac:dyDescent="0.75">
      <c r="A2" t="s">
        <v>255</v>
      </c>
      <c r="B2">
        <f>'Find it on the computer...'!C34</f>
        <v>8</v>
      </c>
      <c r="C2">
        <f>'Find it on the computer...'!D34</f>
        <v>0</v>
      </c>
      <c r="D2">
        <f>'Find it on the computer...'!E34</f>
        <v>7</v>
      </c>
      <c r="E2">
        <f>'Find it on the computer...'!F34</f>
        <v>9</v>
      </c>
    </row>
    <row r="3" spans="1:5" x14ac:dyDescent="0.75">
      <c r="A3" t="s">
        <v>256</v>
      </c>
      <c r="B3">
        <f>'Inputting grades...'!C35</f>
        <v>4</v>
      </c>
      <c r="C3">
        <f>'Inputting grades...'!D35</f>
        <v>7</v>
      </c>
      <c r="D3">
        <f>'Inputting grades...'!E35</f>
        <v>8</v>
      </c>
      <c r="E3">
        <f>'Inputting grades...'!F35</f>
        <v>5</v>
      </c>
    </row>
    <row r="4" spans="1:5" x14ac:dyDescent="0.75">
      <c r="A4" t="s">
        <v>259</v>
      </c>
      <c r="B4">
        <f>'play against computer...'!C34</f>
        <v>17</v>
      </c>
      <c r="C4">
        <f>'play against computer...'!D34</f>
        <v>2</v>
      </c>
      <c r="D4">
        <f>'play against computer...'!E34</f>
        <v>3</v>
      </c>
      <c r="E4">
        <f>'play against computer...'!F34</f>
        <v>2</v>
      </c>
    </row>
    <row r="5" spans="1:5" x14ac:dyDescent="0.75">
      <c r="A5" t="s">
        <v>257</v>
      </c>
      <c r="B5">
        <f>'need a new computer...'!C34</f>
        <v>7</v>
      </c>
      <c r="C5">
        <f>'need a new computer...'!D34</f>
        <v>13</v>
      </c>
      <c r="D5">
        <f>'need a new computer...'!E34</f>
        <v>1</v>
      </c>
      <c r="E5">
        <f>'need a new computer...'!F34</f>
        <v>3</v>
      </c>
    </row>
    <row r="6" spans="1:5" x14ac:dyDescent="0.75">
      <c r="A6" t="s">
        <v>258</v>
      </c>
      <c r="B6">
        <f>'Don''t keep anything on...'!C34</f>
        <v>10</v>
      </c>
      <c r="C6">
        <f>'Don''t keep anything on...'!D34</f>
        <v>1</v>
      </c>
      <c r="D6">
        <f>'Don''t keep anything on...'!E34</f>
        <v>7</v>
      </c>
      <c r="E6">
        <f>'Don''t keep anything on...'!F34</f>
        <v>6</v>
      </c>
    </row>
    <row r="13" spans="1:5" x14ac:dyDescent="0.75">
      <c r="A13" t="s">
        <v>188</v>
      </c>
      <c r="B13" t="s">
        <v>262</v>
      </c>
      <c r="C13" t="s">
        <v>200</v>
      </c>
      <c r="D13" t="s">
        <v>201</v>
      </c>
      <c r="E13" t="s">
        <v>202</v>
      </c>
    </row>
    <row r="14" spans="1:5" x14ac:dyDescent="0.75">
      <c r="A14" t="s">
        <v>187</v>
      </c>
      <c r="B14">
        <f>SUM(Table6[PAR])</f>
        <v>46</v>
      </c>
      <c r="C14">
        <f>SUM(Table6[SIT])</f>
        <v>23</v>
      </c>
      <c r="D14">
        <f>SUM(Table6[INF])</f>
        <v>26</v>
      </c>
      <c r="E14">
        <f>SUM(Table6[EVA])</f>
        <v>25</v>
      </c>
    </row>
    <row r="18" spans="1:6" x14ac:dyDescent="0.75">
      <c r="A18" t="s">
        <v>189</v>
      </c>
      <c r="B18" t="s">
        <v>262</v>
      </c>
      <c r="C18" t="s">
        <v>200</v>
      </c>
      <c r="D18" t="s">
        <v>201</v>
      </c>
      <c r="E18" t="s">
        <v>202</v>
      </c>
      <c r="F18" t="s">
        <v>266</v>
      </c>
    </row>
    <row r="19" spans="1:6" x14ac:dyDescent="0.75">
      <c r="A19" t="s">
        <v>255</v>
      </c>
      <c r="B19" s="9">
        <f>B2/Table69[[#This Row],[total]]</f>
        <v>0.33333333333333331</v>
      </c>
      <c r="C19" s="9">
        <f>C2/Table69[[#This Row],[total]]</f>
        <v>0</v>
      </c>
      <c r="D19" s="9">
        <f>D2/Table69[[#This Row],[total]]</f>
        <v>0.29166666666666669</v>
      </c>
      <c r="E19" s="9">
        <f>E2/Table69[[#This Row],[total]]</f>
        <v>0.375</v>
      </c>
      <c r="F19">
        <f>SUM(B2:E2)</f>
        <v>24</v>
      </c>
    </row>
    <row r="20" spans="1:6" x14ac:dyDescent="0.75">
      <c r="A20" t="s">
        <v>256</v>
      </c>
      <c r="B20" s="9">
        <f>B3/Table69[[#This Row],[total]]</f>
        <v>0.16666666666666666</v>
      </c>
      <c r="C20" s="9">
        <f>C3/Table69[[#This Row],[total]]</f>
        <v>0.29166666666666669</v>
      </c>
      <c r="D20" s="9">
        <f>D3/Table69[[#This Row],[total]]</f>
        <v>0.33333333333333331</v>
      </c>
      <c r="E20" s="9">
        <f>E3/Table69[[#This Row],[total]]</f>
        <v>0.20833333333333334</v>
      </c>
      <c r="F20">
        <f t="shared" ref="F20:F23" si="0">SUM(B3:E3)</f>
        <v>24</v>
      </c>
    </row>
    <row r="21" spans="1:6" x14ac:dyDescent="0.75">
      <c r="A21" t="s">
        <v>259</v>
      </c>
      <c r="B21" s="9">
        <f>B4/Table69[[#This Row],[total]]</f>
        <v>0.70833333333333337</v>
      </c>
      <c r="C21" s="9">
        <f>C4/Table69[[#This Row],[total]]</f>
        <v>8.3333333333333329E-2</v>
      </c>
      <c r="D21" s="9">
        <f>D4/Table69[[#This Row],[total]]</f>
        <v>0.125</v>
      </c>
      <c r="E21" s="9">
        <f>E4/Table69[[#This Row],[total]]</f>
        <v>8.3333333333333329E-2</v>
      </c>
      <c r="F21">
        <f t="shared" si="0"/>
        <v>24</v>
      </c>
    </row>
    <row r="22" spans="1:6" x14ac:dyDescent="0.75">
      <c r="A22" t="s">
        <v>257</v>
      </c>
      <c r="B22" s="9">
        <f>B5/Table69[[#This Row],[total]]</f>
        <v>0.29166666666666669</v>
      </c>
      <c r="C22" s="9">
        <f>C5/Table69[[#This Row],[total]]</f>
        <v>0.54166666666666663</v>
      </c>
      <c r="D22" s="9">
        <f>D5/Table69[[#This Row],[total]]</f>
        <v>4.1666666666666664E-2</v>
      </c>
      <c r="E22" s="9">
        <f>E5/Table69[[#This Row],[total]]</f>
        <v>0.125</v>
      </c>
      <c r="F22">
        <f t="shared" si="0"/>
        <v>24</v>
      </c>
    </row>
    <row r="23" spans="1:6" x14ac:dyDescent="0.75">
      <c r="A23" t="s">
        <v>258</v>
      </c>
      <c r="B23" s="9">
        <f>B6/Table69[[#This Row],[total]]</f>
        <v>0.41666666666666669</v>
      </c>
      <c r="C23" s="9">
        <f>C6/Table69[[#This Row],[total]]</f>
        <v>4.1666666666666664E-2</v>
      </c>
      <c r="D23" s="9">
        <f>D6/Table69[[#This Row],[total]]</f>
        <v>0.29166666666666669</v>
      </c>
      <c r="E23" s="9">
        <f>E6/Table69[[#This Row],[total]]</f>
        <v>0.25</v>
      </c>
      <c r="F23">
        <f t="shared" si="0"/>
        <v>24</v>
      </c>
    </row>
    <row r="26" spans="1:6" x14ac:dyDescent="0.75">
      <c r="B26" s="9"/>
      <c r="C26" s="9"/>
      <c r="D26" s="9"/>
      <c r="E26" s="9"/>
    </row>
  </sheetData>
  <pageMargins left="0.7" right="0.7" top="0.75" bottom="0.75" header="0.3" footer="0.3"/>
  <tableParts count="3">
    <tablePart r:id="rId1"/>
    <tablePart r:id="rId2"/>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Sheet0</vt:lpstr>
      <vt:lpstr>Find it on the computer...</vt:lpstr>
      <vt:lpstr>Inputting grades...</vt:lpstr>
      <vt:lpstr>play against computer...</vt:lpstr>
      <vt:lpstr>need a new computer...</vt:lpstr>
      <vt:lpstr>Don't keep anything on...</vt:lpstr>
      <vt:lpstr>Overview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Nina Haket</cp:lastModifiedBy>
  <dcterms:created xsi:type="dcterms:W3CDTF">2024-12-11T13:41:39Z</dcterms:created>
  <dcterms:modified xsi:type="dcterms:W3CDTF">2025-11-05T13:10:31Z</dcterms:modified>
</cp:coreProperties>
</file>